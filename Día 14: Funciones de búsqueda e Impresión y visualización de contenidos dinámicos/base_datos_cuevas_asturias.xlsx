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Cuevas" sheetId="1" state="visible" r:id="rId1"/>
  </sheets>
  <definedNames>
    <definedName name="_xlnm.Print_Titles" localSheetId="0">'Registro_Cuevas'!$3:$3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3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5" fillId="5" borderId="2" applyAlignment="1" pivotButton="0" quotePrefix="0" xfId="0">
      <alignment horizontal="left" vertical="center"/>
    </xf>
    <xf numFmtId="0" fontId="0" fillId="5" borderId="2" pivotButton="0" quotePrefix="0" xfId="0"/>
    <xf numFmtId="3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14" customWidth="1" min="5" max="5"/>
    <col width="16" customWidth="1" min="6" max="6"/>
    <col width="20" customWidth="1" min="7" max="7"/>
    <col width="18" customWidth="1" min="8" max="8"/>
    <col width="19" customWidth="1" min="9" max="9"/>
    <col width="16" customWidth="1" min="10" max="10"/>
    <col width="22" customWidth="1" min="11" max="11"/>
  </cols>
  <sheetData>
    <row r="1" ht="35" customHeight="1">
      <c r="A1" s="1" t="inlineStr">
        <is>
          <t>RED DE CUEVAS DE ASTURIAS - BASE DE DATOS DE GESTIÓN Y CONSERVACIÓN</t>
        </is>
      </c>
    </row>
    <row r="2" ht="20" customHeight="1">
      <c r="A2" s="2" t="inlineStr">
        <is>
          <t>Epígrafe 2.6: Impresión y Visualización de Contenidos Dinámicos | IFCT56 Excel Avanzado</t>
        </is>
      </c>
    </row>
    <row r="3" ht="28" customHeight="1">
      <c r="A3" s="3" t="inlineStr">
        <is>
          <t>ID Registro</t>
        </is>
      </c>
      <c r="B3" s="3" t="inlineStr">
        <is>
          <t>Cueva</t>
        </is>
      </c>
      <c r="C3" s="3" t="inlineStr">
        <is>
          <t>Municipio</t>
        </is>
      </c>
      <c r="D3" s="3" t="inlineStr">
        <is>
          <t>Tipo de Visita</t>
        </is>
      </c>
      <c r="E3" s="3" t="inlineStr">
        <is>
          <t>Temporada</t>
        </is>
      </c>
      <c r="F3" s="3" t="inlineStr">
        <is>
          <t>Visitantes</t>
        </is>
      </c>
      <c r="G3" s="3" t="inlineStr">
        <is>
          <t>Precio Entrada</t>
        </is>
      </c>
      <c r="H3" s="3" t="inlineStr">
        <is>
          <t>Ingresos Totales</t>
        </is>
      </c>
      <c r="I3" s="3" t="inlineStr">
        <is>
          <t>Cupo Máx Diario</t>
        </is>
      </c>
      <c r="J3" s="3" t="inlineStr">
        <is>
          <t>Ocupación (%)</t>
        </is>
      </c>
      <c r="K3" s="3" t="inlineStr">
        <is>
          <t>Estado Conservación</t>
        </is>
      </c>
    </row>
    <row r="4" ht="20" customHeight="1">
      <c r="A4" s="4" t="inlineStr">
        <is>
          <t>REG-001</t>
        </is>
      </c>
      <c r="B4" s="5" t="inlineStr">
        <is>
          <t>Tito Bustillo</t>
        </is>
      </c>
      <c r="C4" s="5" t="inlineStr">
        <is>
          <t>Ribadesella</t>
        </is>
      </c>
      <c r="D4" s="5" t="inlineStr">
        <is>
          <t>Arte Rupestre</t>
        </is>
      </c>
      <c r="E4" s="4" t="inlineStr">
        <is>
          <t>Alta</t>
        </is>
      </c>
      <c r="F4" s="6" t="n">
        <v>450</v>
      </c>
      <c r="G4" s="7" t="n">
        <v>4</v>
      </c>
      <c r="H4" s="7">
        <f>F4*G4</f>
        <v/>
      </c>
      <c r="I4" s="6" t="n">
        <v>500</v>
      </c>
      <c r="J4" s="8">
        <f>F4/I4</f>
        <v/>
      </c>
      <c r="K4" s="4" t="inlineStr">
        <is>
          <t>Excelente</t>
        </is>
      </c>
    </row>
    <row r="5" ht="20" customHeight="1">
      <c r="A5" s="9" t="inlineStr">
        <is>
          <t>REG-002</t>
        </is>
      </c>
      <c r="B5" s="10" t="inlineStr">
        <is>
          <t>Tito Bustillo</t>
        </is>
      </c>
      <c r="C5" s="10" t="inlineStr">
        <is>
          <t>Ribadesella</t>
        </is>
      </c>
      <c r="D5" s="10" t="inlineStr">
        <is>
          <t>Talleres Didácticos</t>
        </is>
      </c>
      <c r="E5" s="9" t="inlineStr">
        <is>
          <t>Alta</t>
        </is>
      </c>
      <c r="F5" s="11" t="n">
        <v>120</v>
      </c>
      <c r="G5" s="12" t="n">
        <v>6.5</v>
      </c>
      <c r="H5" s="12">
        <f>F5*G5</f>
        <v/>
      </c>
      <c r="I5" s="11" t="n">
        <v>150</v>
      </c>
      <c r="J5" s="13">
        <f>F5/I5</f>
        <v/>
      </c>
      <c r="K5" s="9" t="inlineStr">
        <is>
          <t>Excelente</t>
        </is>
      </c>
    </row>
    <row r="6" ht="20" customHeight="1">
      <c r="A6" s="4" t="inlineStr">
        <is>
          <t>REG-003</t>
        </is>
      </c>
      <c r="B6" s="5" t="inlineStr">
        <is>
          <t>El Pindal</t>
        </is>
      </c>
      <c r="C6" s="5" t="inlineStr">
        <is>
          <t>Rivadedeva</t>
        </is>
      </c>
      <c r="D6" s="5" t="inlineStr">
        <is>
          <t>Arte Rupestre</t>
        </is>
      </c>
      <c r="E6" s="4" t="inlineStr">
        <is>
          <t>Alta</t>
        </is>
      </c>
      <c r="F6" s="6" t="n">
        <v>280</v>
      </c>
      <c r="G6" s="7" t="n">
        <v>4</v>
      </c>
      <c r="H6" s="7">
        <f>F6*G6</f>
        <v/>
      </c>
      <c r="I6" s="6" t="n">
        <v>300</v>
      </c>
      <c r="J6" s="8">
        <f>F6/I6</f>
        <v/>
      </c>
      <c r="K6" s="4" t="inlineStr">
        <is>
          <t>Bueno</t>
        </is>
      </c>
    </row>
    <row r="7" ht="20" customHeight="1">
      <c r="A7" s="9" t="inlineStr">
        <is>
          <t>REG-004</t>
        </is>
      </c>
      <c r="B7" s="10" t="inlineStr">
        <is>
          <t>El Pindal</t>
        </is>
      </c>
      <c r="C7" s="10" t="inlineStr">
        <is>
          <t>Rivadedeva</t>
        </is>
      </c>
      <c r="D7" s="10" t="inlineStr">
        <is>
          <t>Espeleoturismo</t>
        </is>
      </c>
      <c r="E7" s="9" t="inlineStr">
        <is>
          <t>Media</t>
        </is>
      </c>
      <c r="F7" s="11" t="n">
        <v>85</v>
      </c>
      <c r="G7" s="12" t="n">
        <v>12</v>
      </c>
      <c r="H7" s="12">
        <f>F7*G7</f>
        <v/>
      </c>
      <c r="I7" s="11" t="n">
        <v>100</v>
      </c>
      <c r="J7" s="13">
        <f>F7/I7</f>
        <v/>
      </c>
      <c r="K7" s="9" t="inlineStr">
        <is>
          <t>Bueno</t>
        </is>
      </c>
    </row>
    <row r="8" ht="20" customHeight="1">
      <c r="A8" s="4" t="inlineStr">
        <is>
          <t>REG-005</t>
        </is>
      </c>
      <c r="B8" s="5" t="inlineStr">
        <is>
          <t>Cueva de Candamo</t>
        </is>
      </c>
      <c r="C8" s="5" t="inlineStr">
        <is>
          <t>Candamo</t>
        </is>
      </c>
      <c r="D8" s="5" t="inlineStr">
        <is>
          <t>Arte Rupestre</t>
        </is>
      </c>
      <c r="E8" s="4" t="inlineStr">
        <is>
          <t>Media</t>
        </is>
      </c>
      <c r="F8" s="6" t="n">
        <v>110</v>
      </c>
      <c r="G8" s="7" t="n">
        <v>4</v>
      </c>
      <c r="H8" s="7">
        <f>F8*G8</f>
        <v/>
      </c>
      <c r="I8" s="6" t="n">
        <v>120</v>
      </c>
      <c r="J8" s="8">
        <f>F8/I8</f>
        <v/>
      </c>
      <c r="K8" s="4" t="inlineStr">
        <is>
          <t>En Observación</t>
        </is>
      </c>
    </row>
    <row r="9" ht="20" customHeight="1">
      <c r="A9" s="9" t="inlineStr">
        <is>
          <t>REG-006</t>
        </is>
      </c>
      <c r="B9" s="10" t="inlineStr">
        <is>
          <t>Cueva de Candamo</t>
        </is>
      </c>
      <c r="C9" s="10" t="inlineStr">
        <is>
          <t>Candamo</t>
        </is>
      </c>
      <c r="D9" s="10" t="inlineStr">
        <is>
          <t>Talleres Didácticos</t>
        </is>
      </c>
      <c r="E9" s="9" t="inlineStr">
        <is>
          <t>Baja</t>
        </is>
      </c>
      <c r="F9" s="11" t="n">
        <v>45</v>
      </c>
      <c r="G9" s="12" t="n">
        <v>5</v>
      </c>
      <c r="H9" s="12">
        <f>F9*G9</f>
        <v/>
      </c>
      <c r="I9" s="11" t="n">
        <v>60</v>
      </c>
      <c r="J9" s="13">
        <f>F9/I9</f>
        <v/>
      </c>
      <c r="K9" s="9" t="inlineStr">
        <is>
          <t>En Observación</t>
        </is>
      </c>
    </row>
    <row r="10" ht="20" customHeight="1">
      <c r="A10" s="4" t="inlineStr">
        <is>
          <t>REG-007</t>
        </is>
      </c>
      <c r="B10" s="5" t="inlineStr">
        <is>
          <t>El Buxu</t>
        </is>
      </c>
      <c r="C10" s="5" t="inlineStr">
        <is>
          <t>Cangas de Onís</t>
        </is>
      </c>
      <c r="D10" s="5" t="inlineStr">
        <is>
          <t>Arte Rupestre</t>
        </is>
      </c>
      <c r="E10" s="4" t="inlineStr">
        <is>
          <t>Alta</t>
        </is>
      </c>
      <c r="F10" s="6" t="n">
        <v>190</v>
      </c>
      <c r="G10" s="7" t="n">
        <v>4</v>
      </c>
      <c r="H10" s="7">
        <f>F10*G10</f>
        <v/>
      </c>
      <c r="I10" s="6" t="n">
        <v>200</v>
      </c>
      <c r="J10" s="8">
        <f>F10/I10</f>
        <v/>
      </c>
      <c r="K10" s="4" t="inlineStr">
        <is>
          <t>Bueno</t>
        </is>
      </c>
    </row>
    <row r="11" ht="20" customHeight="1">
      <c r="A11" s="9" t="inlineStr">
        <is>
          <t>REG-008</t>
        </is>
      </c>
      <c r="B11" s="10" t="inlineStr">
        <is>
          <t>El Buxu</t>
        </is>
      </c>
      <c r="C11" s="10" t="inlineStr">
        <is>
          <t>Cangas de Onís</t>
        </is>
      </c>
      <c r="D11" s="10" t="inlineStr">
        <is>
          <t>Arte Rupestre</t>
        </is>
      </c>
      <c r="E11" s="9" t="inlineStr">
        <is>
          <t>Baja</t>
        </is>
      </c>
      <c r="F11" s="11" t="n">
        <v>60</v>
      </c>
      <c r="G11" s="12" t="n">
        <v>4</v>
      </c>
      <c r="H11" s="12">
        <f>F11*G11</f>
        <v/>
      </c>
      <c r="I11" s="11" t="n">
        <v>100</v>
      </c>
      <c r="J11" s="13">
        <f>F11/I11</f>
        <v/>
      </c>
      <c r="K11" s="9" t="inlineStr">
        <is>
          <t>Bueno</t>
        </is>
      </c>
    </row>
    <row r="12" ht="20" customHeight="1">
      <c r="A12" s="4" t="inlineStr">
        <is>
          <t>REG-009</t>
        </is>
      </c>
      <c r="B12" s="5" t="inlineStr">
        <is>
          <t>Cueva de Huerta</t>
        </is>
      </c>
      <c r="C12" s="5" t="inlineStr">
        <is>
          <t>Teverga</t>
        </is>
      </c>
      <c r="D12" s="5" t="inlineStr">
        <is>
          <t>Espeleoturismo</t>
        </is>
      </c>
      <c r="E12" s="4" t="inlineStr">
        <is>
          <t>Alta</t>
        </is>
      </c>
      <c r="F12" s="6" t="n">
        <v>320</v>
      </c>
      <c r="G12" s="7" t="n">
        <v>15</v>
      </c>
      <c r="H12" s="7">
        <f>F12*G12</f>
        <v/>
      </c>
      <c r="I12" s="6" t="n">
        <v>350</v>
      </c>
      <c r="J12" s="8">
        <f>F12/I12</f>
        <v/>
      </c>
      <c r="K12" s="4" t="inlineStr">
        <is>
          <t>Excelente</t>
        </is>
      </c>
    </row>
    <row r="13" ht="20" customHeight="1">
      <c r="A13" s="9" t="inlineStr">
        <is>
          <t>REG-010</t>
        </is>
      </c>
      <c r="B13" s="10" t="inlineStr">
        <is>
          <t>Cueva de Huerta</t>
        </is>
      </c>
      <c r="C13" s="10" t="inlineStr">
        <is>
          <t>Teverga</t>
        </is>
      </c>
      <c r="D13" s="10" t="inlineStr">
        <is>
          <t>Espeleoturismo</t>
        </is>
      </c>
      <c r="E13" s="9" t="inlineStr">
        <is>
          <t>Media</t>
        </is>
      </c>
      <c r="F13" s="11" t="n">
        <v>180</v>
      </c>
      <c r="G13" s="12" t="n">
        <v>15</v>
      </c>
      <c r="H13" s="12">
        <f>F13*G13</f>
        <v/>
      </c>
      <c r="I13" s="11" t="n">
        <v>250</v>
      </c>
      <c r="J13" s="13">
        <f>F13/I13</f>
        <v/>
      </c>
      <c r="K13" s="9" t="inlineStr">
        <is>
          <t>Excelente</t>
        </is>
      </c>
    </row>
    <row r="14" ht="20" customHeight="1">
      <c r="A14" s="4" t="inlineStr">
        <is>
          <t>REG-011</t>
        </is>
      </c>
      <c r="B14" s="5" t="inlineStr">
        <is>
          <t>La Lluera</t>
        </is>
      </c>
      <c r="C14" s="5" t="inlineStr">
        <is>
          <t>San Claudio / Oviedo</t>
        </is>
      </c>
      <c r="D14" s="5" t="inlineStr">
        <is>
          <t>Arte Rupestre</t>
        </is>
      </c>
      <c r="E14" s="4" t="inlineStr">
        <is>
          <t>Media</t>
        </is>
      </c>
      <c r="F14" s="6" t="n">
        <v>95</v>
      </c>
      <c r="G14" s="7" t="n">
        <v>4</v>
      </c>
      <c r="H14" s="7">
        <f>F14*G14</f>
        <v/>
      </c>
      <c r="I14" s="6" t="n">
        <v>100</v>
      </c>
      <c r="J14" s="8">
        <f>F14/I14</f>
        <v/>
      </c>
      <c r="K14" s="4" t="inlineStr">
        <is>
          <t>Excelente</t>
        </is>
      </c>
    </row>
    <row r="15" ht="20" customHeight="1">
      <c r="A15" s="9" t="inlineStr">
        <is>
          <t>REG-012</t>
        </is>
      </c>
      <c r="B15" s="10" t="inlineStr">
        <is>
          <t>La Lluera</t>
        </is>
      </c>
      <c r="C15" s="10" t="inlineStr">
        <is>
          <t>San Claudio / Oviedo</t>
        </is>
      </c>
      <c r="D15" s="10" t="inlineStr">
        <is>
          <t>Talleres Didácticos</t>
        </is>
      </c>
      <c r="E15" s="9" t="inlineStr">
        <is>
          <t>Baja</t>
        </is>
      </c>
      <c r="F15" s="11" t="n">
        <v>40</v>
      </c>
      <c r="G15" s="12" t="n">
        <v>5</v>
      </c>
      <c r="H15" s="12">
        <f>F15*G15</f>
        <v/>
      </c>
      <c r="I15" s="11" t="n">
        <v>50</v>
      </c>
      <c r="J15" s="13">
        <f>F15/I15</f>
        <v/>
      </c>
      <c r="K15" s="9" t="inlineStr">
        <is>
          <t>Excelente</t>
        </is>
      </c>
    </row>
    <row r="16" ht="20" customHeight="1">
      <c r="A16" s="4" t="inlineStr">
        <is>
          <t>REG-013</t>
        </is>
      </c>
      <c r="B16" s="5" t="inlineStr">
        <is>
          <t>Tito Bustillo</t>
        </is>
      </c>
      <c r="C16" s="5" t="inlineStr">
        <is>
          <t>Ribadesella</t>
        </is>
      </c>
      <c r="D16" s="5" t="inlineStr">
        <is>
          <t>Arte Rupestre</t>
        </is>
      </c>
      <c r="E16" s="4" t="inlineStr">
        <is>
          <t>Media</t>
        </is>
      </c>
      <c r="F16" s="6" t="n">
        <v>380</v>
      </c>
      <c r="G16" s="7" t="n">
        <v>4</v>
      </c>
      <c r="H16" s="7">
        <f>F16*G16</f>
        <v/>
      </c>
      <c r="I16" s="6" t="n">
        <v>500</v>
      </c>
      <c r="J16" s="8">
        <f>F16/I16</f>
        <v/>
      </c>
      <c r="K16" s="4" t="inlineStr">
        <is>
          <t>Excelente</t>
        </is>
      </c>
    </row>
    <row r="17" ht="20" customHeight="1">
      <c r="A17" s="9" t="inlineStr">
        <is>
          <t>REG-014</t>
        </is>
      </c>
      <c r="B17" s="10" t="inlineStr">
        <is>
          <t>Tito Bustillo</t>
        </is>
      </c>
      <c r="C17" s="10" t="inlineStr">
        <is>
          <t>Ribadesella</t>
        </is>
      </c>
      <c r="D17" s="10" t="inlineStr">
        <is>
          <t>Espeleoturismo</t>
        </is>
      </c>
      <c r="E17" s="9" t="inlineStr">
        <is>
          <t>Baja</t>
        </is>
      </c>
      <c r="F17" s="11" t="n">
        <v>90</v>
      </c>
      <c r="G17" s="12" t="n">
        <v>12</v>
      </c>
      <c r="H17" s="12">
        <f>F17*G17</f>
        <v/>
      </c>
      <c r="I17" s="11" t="n">
        <v>120</v>
      </c>
      <c r="J17" s="13">
        <f>F17/I17</f>
        <v/>
      </c>
      <c r="K17" s="9" t="inlineStr">
        <is>
          <t>Excelente</t>
        </is>
      </c>
    </row>
    <row r="18" ht="20" customHeight="1">
      <c r="A18" s="4" t="inlineStr">
        <is>
          <t>REG-015</t>
        </is>
      </c>
      <c r="B18" s="5" t="inlineStr">
        <is>
          <t>El Pindal</t>
        </is>
      </c>
      <c r="C18" s="5" t="inlineStr">
        <is>
          <t>Rivadedeva</t>
        </is>
      </c>
      <c r="D18" s="5" t="inlineStr">
        <is>
          <t>Arte Rupestre</t>
        </is>
      </c>
      <c r="E18" s="4" t="inlineStr">
        <is>
          <t>Baja</t>
        </is>
      </c>
      <c r="F18" s="6" t="n">
        <v>110</v>
      </c>
      <c r="G18" s="7" t="n">
        <v>4</v>
      </c>
      <c r="H18" s="7">
        <f>F18*G18</f>
        <v/>
      </c>
      <c r="I18" s="6" t="n">
        <v>300</v>
      </c>
      <c r="J18" s="8">
        <f>F18/I18</f>
        <v/>
      </c>
      <c r="K18" s="4" t="inlineStr">
        <is>
          <t>Bueno</t>
        </is>
      </c>
    </row>
    <row r="19" ht="20" customHeight="1">
      <c r="A19" s="9" t="inlineStr">
        <is>
          <t>REG-016</t>
        </is>
      </c>
      <c r="B19" s="10" t="inlineStr">
        <is>
          <t>Cueva de Candamo</t>
        </is>
      </c>
      <c r="C19" s="10" t="inlineStr">
        <is>
          <t>Candamo</t>
        </is>
      </c>
      <c r="D19" s="10" t="inlineStr">
        <is>
          <t>Arte Rupestre</t>
        </is>
      </c>
      <c r="E19" s="9" t="inlineStr">
        <is>
          <t>Alta</t>
        </is>
      </c>
      <c r="F19" s="11" t="n">
        <v>120</v>
      </c>
      <c r="G19" s="12" t="n">
        <v>4</v>
      </c>
      <c r="H19" s="12">
        <f>F19*G19</f>
        <v/>
      </c>
      <c r="I19" s="11" t="n">
        <v>120</v>
      </c>
      <c r="J19" s="13">
        <f>F19/I19</f>
        <v/>
      </c>
      <c r="K19" s="9" t="inlineStr">
        <is>
          <t>En Observación</t>
        </is>
      </c>
    </row>
    <row r="20" ht="20" customHeight="1">
      <c r="A20" s="4" t="inlineStr">
        <is>
          <t>REG-017</t>
        </is>
      </c>
      <c r="B20" s="5" t="inlineStr">
        <is>
          <t>El Buxu</t>
        </is>
      </c>
      <c r="C20" s="5" t="inlineStr">
        <is>
          <t>Cangas de Onís</t>
        </is>
      </c>
      <c r="D20" s="5" t="inlineStr">
        <is>
          <t>Talleres Didácticos</t>
        </is>
      </c>
      <c r="E20" s="4" t="inlineStr">
        <is>
          <t>Media</t>
        </is>
      </c>
      <c r="F20" s="6" t="n">
        <v>80</v>
      </c>
      <c r="G20" s="7" t="n">
        <v>5</v>
      </c>
      <c r="H20" s="7">
        <f>F20*G20</f>
        <v/>
      </c>
      <c r="I20" s="6" t="n">
        <v>100</v>
      </c>
      <c r="J20" s="8">
        <f>F20/I20</f>
        <v/>
      </c>
      <c r="K20" s="4" t="inlineStr">
        <is>
          <t>Bueno</t>
        </is>
      </c>
    </row>
    <row r="21" ht="20" customHeight="1">
      <c r="A21" s="9" t="inlineStr">
        <is>
          <t>REG-018</t>
        </is>
      </c>
      <c r="B21" s="10" t="inlineStr">
        <is>
          <t>Cueva de Huerta</t>
        </is>
      </c>
      <c r="C21" s="10" t="inlineStr">
        <is>
          <t>Teverga</t>
        </is>
      </c>
      <c r="D21" s="10" t="inlineStr">
        <is>
          <t>Talleres Didácticos</t>
        </is>
      </c>
      <c r="E21" s="9" t="inlineStr">
        <is>
          <t>Alta</t>
        </is>
      </c>
      <c r="F21" s="11" t="n">
        <v>210</v>
      </c>
      <c r="G21" s="12" t="n">
        <v>6.5</v>
      </c>
      <c r="H21" s="12">
        <f>F21*G21</f>
        <v/>
      </c>
      <c r="I21" s="11" t="n">
        <v>250</v>
      </c>
      <c r="J21" s="13">
        <f>F21/I21</f>
        <v/>
      </c>
      <c r="K21" s="9" t="inlineStr">
        <is>
          <t>Excelente</t>
        </is>
      </c>
    </row>
    <row r="22" ht="20" customHeight="1">
      <c r="A22" s="4" t="inlineStr">
        <is>
          <t>REG-019</t>
        </is>
      </c>
      <c r="B22" s="5" t="inlineStr">
        <is>
          <t>La Lluera</t>
        </is>
      </c>
      <c r="C22" s="5" t="inlineStr">
        <is>
          <t>San Claudio / Oviedo</t>
        </is>
      </c>
      <c r="D22" s="5" t="inlineStr">
        <is>
          <t>Arte Rupestre</t>
        </is>
      </c>
      <c r="E22" s="4" t="inlineStr">
        <is>
          <t>Alta</t>
        </is>
      </c>
      <c r="F22" s="6" t="n">
        <v>100</v>
      </c>
      <c r="G22" s="7" t="n">
        <v>4</v>
      </c>
      <c r="H22" s="7">
        <f>F22*G22</f>
        <v/>
      </c>
      <c r="I22" s="6" t="n">
        <v>100</v>
      </c>
      <c r="J22" s="8">
        <f>F22/I22</f>
        <v/>
      </c>
      <c r="K22" s="4" t="inlineStr">
        <is>
          <t>Excelente</t>
        </is>
      </c>
    </row>
    <row r="23" ht="20" customHeight="1">
      <c r="A23" s="9" t="inlineStr">
        <is>
          <t>REG-020</t>
        </is>
      </c>
      <c r="B23" s="10" t="inlineStr">
        <is>
          <t>Tito Bustillo</t>
        </is>
      </c>
      <c r="C23" s="10" t="inlineStr">
        <is>
          <t>Ribadesella</t>
        </is>
      </c>
      <c r="D23" s="10" t="inlineStr">
        <is>
          <t>Talleres Didácticos</t>
        </is>
      </c>
      <c r="E23" s="9" t="inlineStr">
        <is>
          <t>Media</t>
        </is>
      </c>
      <c r="F23" s="11" t="n">
        <v>110</v>
      </c>
      <c r="G23" s="12" t="n">
        <v>6.5</v>
      </c>
      <c r="H23" s="12">
        <f>F23*G23</f>
        <v/>
      </c>
      <c r="I23" s="11" t="n">
        <v>150</v>
      </c>
      <c r="J23" s="13">
        <f>F23/I23</f>
        <v/>
      </c>
      <c r="K23" s="9" t="inlineStr">
        <is>
          <t>Excelente</t>
        </is>
      </c>
    </row>
    <row r="24" ht="20" customHeight="1">
      <c r="A24" s="4" t="inlineStr">
        <is>
          <t>REG-021</t>
        </is>
      </c>
      <c r="B24" s="5" t="inlineStr">
        <is>
          <t>El Pindal</t>
        </is>
      </c>
      <c r="C24" s="5" t="inlineStr">
        <is>
          <t>Rivadedeva</t>
        </is>
      </c>
      <c r="D24" s="5" t="inlineStr">
        <is>
          <t>Talleres Didácticos</t>
        </is>
      </c>
      <c r="E24" s="4" t="inlineStr">
        <is>
          <t>Media</t>
        </is>
      </c>
      <c r="F24" s="6" t="n">
        <v>75</v>
      </c>
      <c r="G24" s="7" t="n">
        <v>5</v>
      </c>
      <c r="H24" s="7">
        <f>F24*G24</f>
        <v/>
      </c>
      <c r="I24" s="6" t="n">
        <v>100</v>
      </c>
      <c r="J24" s="8">
        <f>F24/I24</f>
        <v/>
      </c>
      <c r="K24" s="4" t="inlineStr">
        <is>
          <t>Bueno</t>
        </is>
      </c>
    </row>
    <row r="25" ht="20" customHeight="1">
      <c r="A25" s="9" t="inlineStr">
        <is>
          <t>REG-022</t>
        </is>
      </c>
      <c r="B25" s="10" t="inlineStr">
        <is>
          <t>Cueva de Huerta</t>
        </is>
      </c>
      <c r="C25" s="10" t="inlineStr">
        <is>
          <t>Teverga</t>
        </is>
      </c>
      <c r="D25" s="10" t="inlineStr">
        <is>
          <t>Espeleoturismo</t>
        </is>
      </c>
      <c r="E25" s="9" t="inlineStr">
        <is>
          <t>Baja</t>
        </is>
      </c>
      <c r="F25" s="11" t="n">
        <v>100</v>
      </c>
      <c r="G25" s="12" t="n">
        <v>15</v>
      </c>
      <c r="H25" s="12">
        <f>F25*G25</f>
        <v/>
      </c>
      <c r="I25" s="11" t="n">
        <v>200</v>
      </c>
      <c r="J25" s="13">
        <f>F25/I25</f>
        <v/>
      </c>
      <c r="K25" s="9" t="inlineStr">
        <is>
          <t>Excelente</t>
        </is>
      </c>
    </row>
    <row r="26" ht="20" customHeight="1">
      <c r="A26" s="4" t="inlineStr">
        <is>
          <t>REG-023</t>
        </is>
      </c>
      <c r="B26" s="5" t="inlineStr">
        <is>
          <t>Cueva de Candamo</t>
        </is>
      </c>
      <c r="C26" s="5" t="inlineStr">
        <is>
          <t>Candamo</t>
        </is>
      </c>
      <c r="D26" s="5" t="inlineStr">
        <is>
          <t>Espeleoturismo</t>
        </is>
      </c>
      <c r="E26" s="4" t="inlineStr">
        <is>
          <t>Baja</t>
        </is>
      </c>
      <c r="F26" s="6" t="n">
        <v>30</v>
      </c>
      <c r="G26" s="7" t="n">
        <v>12</v>
      </c>
      <c r="H26" s="7">
        <f>F26*G26</f>
        <v/>
      </c>
      <c r="I26" s="6" t="n">
        <v>50</v>
      </c>
      <c r="J26" s="8">
        <f>F26/I26</f>
        <v/>
      </c>
      <c r="K26" s="4" t="inlineStr">
        <is>
          <t>En Observación</t>
        </is>
      </c>
    </row>
    <row r="27" ht="20" customHeight="1">
      <c r="A27" s="9" t="inlineStr">
        <is>
          <t>REG-024</t>
        </is>
      </c>
      <c r="B27" s="10" t="inlineStr">
        <is>
          <t>La Lluera</t>
        </is>
      </c>
      <c r="C27" s="10" t="inlineStr">
        <is>
          <t>San Claudio / Oviedo</t>
        </is>
      </c>
      <c r="D27" s="10" t="inlineStr">
        <is>
          <t>Espeleoturismo</t>
        </is>
      </c>
      <c r="E27" s="9" t="inlineStr">
        <is>
          <t>Media</t>
        </is>
      </c>
      <c r="F27" s="11" t="n">
        <v>50</v>
      </c>
      <c r="G27" s="12" t="n">
        <v>12</v>
      </c>
      <c r="H27" s="12">
        <f>F27*G27</f>
        <v/>
      </c>
      <c r="I27" s="11" t="n">
        <v>60</v>
      </c>
      <c r="J27" s="13">
        <f>F27/I27</f>
        <v/>
      </c>
      <c r="K27" s="9" t="inlineStr">
        <is>
          <t>Excelente</t>
        </is>
      </c>
    </row>
    <row r="28" ht="24" customHeight="1">
      <c r="A28" s="14" t="inlineStr">
        <is>
          <t>TOTALES / PROMEDIOS</t>
        </is>
      </c>
      <c r="B28" s="15" t="n"/>
      <c r="C28" s="15" t="n"/>
      <c r="D28" s="15" t="n"/>
      <c r="E28" s="15" t="n"/>
      <c r="F28" s="16">
        <f>SUM(F4:F27)</f>
        <v/>
      </c>
      <c r="G28" s="17">
        <f>AVERAGE(G4:G27)</f>
        <v/>
      </c>
      <c r="H28" s="17">
        <f>SUM(H4:H27)</f>
        <v/>
      </c>
      <c r="I28" s="15" t="n"/>
      <c r="J28" s="18">
        <f>AVERAGE(J4:J27)</f>
        <v/>
      </c>
      <c r="K28" s="15" t="n"/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  <headerFooter>
    <oddHeader>&amp;LRed de Cuevas de Asturias - Informe de Gestión&amp;RIFCT56 Excel Avanzado</oddHeader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2026-10-30T11:38:50Z</dcterms:created>
  <dcterms:modified xmlns:dcterms="http://purl.org/dc/terms/" xmlns:xsi="http://www.w3.org/2001/XMLSchema-instance" xsi:type="dcterms:W3CDTF">2026-10-30T11:38:50Z</dcterms:modified>
</cp:coreProperties>
</file>