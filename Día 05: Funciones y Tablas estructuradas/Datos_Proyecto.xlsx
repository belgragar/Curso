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[Módulo 1] Excel intermedio\Día 01 - Gestión de entornos y formatos\Descargas\"/>
    </mc:Choice>
  </mc:AlternateContent>
  <xr:revisionPtr revIDLastSave="0" documentId="13_ncr:1_{B5432061-DD63-43D5-B0AA-DD71F8B00504}" xr6:coauthVersionLast="47" xr6:coauthVersionMax="47" xr10:uidLastSave="{00000000-0000-0000-0000-000000000000}"/>
  <bookViews>
    <workbookView xWindow="31620" yWindow="-5310" windowWidth="23775" windowHeight="11310" xr2:uid="{00000000-000D-0000-FFFF-FFFF00000000}"/>
  </bookViews>
  <sheets>
    <sheet name="Base_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2" i="1"/>
</calcChain>
</file>

<file path=xl/sharedStrings.xml><?xml version="1.0" encoding="utf-8"?>
<sst xmlns="http://schemas.openxmlformats.org/spreadsheetml/2006/main" count="654" uniqueCount="118">
  <si>
    <t>Codigo_Operacion</t>
  </si>
  <si>
    <t>Fecha</t>
  </si>
  <si>
    <t>Cliente_Bruto</t>
  </si>
  <si>
    <t>Tipo_Cliente</t>
  </si>
  <si>
    <t>Comercial</t>
  </si>
  <si>
    <t>Provincia</t>
  </si>
  <si>
    <t>Canal</t>
  </si>
  <si>
    <t>Categoria</t>
  </si>
  <si>
    <t>Producto</t>
  </si>
  <si>
    <t>Precio_Unitario</t>
  </si>
  <si>
    <t>Cantidad</t>
  </si>
  <si>
    <t>Importe</t>
  </si>
  <si>
    <t>09/03/2026</t>
  </si>
  <si>
    <t xml:space="preserve">  LAURA DOMÍNGUEZ VEGA  </t>
  </si>
  <si>
    <t>Distribuidor</t>
  </si>
  <si>
    <t>Laura</t>
  </si>
  <si>
    <t>Barcelona</t>
  </si>
  <si>
    <t>Periférico</t>
  </si>
  <si>
    <t>Teclado</t>
  </si>
  <si>
    <t>05/04/2026</t>
  </si>
  <si>
    <t xml:space="preserve">   MARTA DÍAZ MARTÍN   </t>
  </si>
  <si>
    <t>Empresa</t>
  </si>
  <si>
    <t>Nuria</t>
  </si>
  <si>
    <t>Asturias</t>
  </si>
  <si>
    <t>Tienda Física</t>
  </si>
  <si>
    <t>14/04/2026</t>
  </si>
  <si>
    <t xml:space="preserve">  DAVID ROMERO NAVARRO  </t>
  </si>
  <si>
    <t>Particular</t>
  </si>
  <si>
    <t>Cristina</t>
  </si>
  <si>
    <t>Zaragoza</t>
  </si>
  <si>
    <t>Impresión</t>
  </si>
  <si>
    <t>Multifunción</t>
  </si>
  <si>
    <t>23/03/2026</t>
  </si>
  <si>
    <t xml:space="preserve">   CARLOS PÉREZ ORTEGA   </t>
  </si>
  <si>
    <t>Madrid</t>
  </si>
  <si>
    <t>Almacenamiento</t>
  </si>
  <si>
    <t>SSD 1 TB</t>
  </si>
  <si>
    <t>Málaga</t>
  </si>
  <si>
    <t>Impresora Láser</t>
  </si>
  <si>
    <t>06/03/2026</t>
  </si>
  <si>
    <t>Online</t>
  </si>
  <si>
    <t>SSD 2 TB</t>
  </si>
  <si>
    <t>25/03/2026</t>
  </si>
  <si>
    <t xml:space="preserve">   LAURA DOMÍNGUEZ VEGA   </t>
  </si>
  <si>
    <t>Sevilla</t>
  </si>
  <si>
    <t>Monitor</t>
  </si>
  <si>
    <t>Curvo 32</t>
  </si>
  <si>
    <t>18/03/2026</t>
  </si>
  <si>
    <t xml:space="preserve">  JORGE ALONSO PRIETO  </t>
  </si>
  <si>
    <t>Miguel</t>
  </si>
  <si>
    <t>Ratón</t>
  </si>
  <si>
    <t>10/03/2026</t>
  </si>
  <si>
    <t>Redes</t>
  </si>
  <si>
    <t>Switch 24P</t>
  </si>
  <si>
    <t>24/03/2026</t>
  </si>
  <si>
    <t xml:space="preserve">  SOFÍA HERRERA LEÓN  </t>
  </si>
  <si>
    <t>A Coruña</t>
  </si>
  <si>
    <t>08/04/2026</t>
  </si>
  <si>
    <t xml:space="preserve">   ANA MARTÍNEZ LÓPEZ   </t>
  </si>
  <si>
    <t>Pablo</t>
  </si>
  <si>
    <t>13/04/2026</t>
  </si>
  <si>
    <t>02/04/2026</t>
  </si>
  <si>
    <t xml:space="preserve">   ELENA SÁNCHEZ GIL   </t>
  </si>
  <si>
    <t>Sergio</t>
  </si>
  <si>
    <t>Router WiFi 6</t>
  </si>
  <si>
    <t>04/04/2026</t>
  </si>
  <si>
    <t xml:space="preserve">  ELENA SÁNCHEZ GIL  </t>
  </si>
  <si>
    <t>Escáner</t>
  </si>
  <si>
    <t>04/03/2026</t>
  </si>
  <si>
    <t>Webcam</t>
  </si>
  <si>
    <t xml:space="preserve">  DIEGO ORTIZ CABRERA  </t>
  </si>
  <si>
    <t>Valencia</t>
  </si>
  <si>
    <t>15/04/2026</t>
  </si>
  <si>
    <t xml:space="preserve">   SOFÍA HERRERA LEÓN   </t>
  </si>
  <si>
    <t>02/03/2026</t>
  </si>
  <si>
    <t>05/03/2026</t>
  </si>
  <si>
    <t>16/03/2026</t>
  </si>
  <si>
    <t xml:space="preserve">  CARLOS PÉREZ ORTEGA  </t>
  </si>
  <si>
    <t>Pendrive 128 GB</t>
  </si>
  <si>
    <t xml:space="preserve">   LUIS GÓMEZ RUIZ   </t>
  </si>
  <si>
    <t xml:space="preserve">  MARTA DÍAZ MARTÍN  </t>
  </si>
  <si>
    <t>Auriculares</t>
  </si>
  <si>
    <t>27 pulgadas</t>
  </si>
  <si>
    <t>07/04/2026</t>
  </si>
  <si>
    <t xml:space="preserve">  JUAN PÉREZ GARRIDO  </t>
  </si>
  <si>
    <t>26/03/2026</t>
  </si>
  <si>
    <t>17/03/2026</t>
  </si>
  <si>
    <t>21/03/2026</t>
  </si>
  <si>
    <t>09/04/2026</t>
  </si>
  <si>
    <t>08/03/2026</t>
  </si>
  <si>
    <t>10/04/2026</t>
  </si>
  <si>
    <t xml:space="preserve">   DIEGO ORTIZ CABRERA   </t>
  </si>
  <si>
    <t>Punto Acceso</t>
  </si>
  <si>
    <t>14/03/2026</t>
  </si>
  <si>
    <t xml:space="preserve">  MARÍA GARCÍA SANTOS  </t>
  </si>
  <si>
    <t>12/03/2026</t>
  </si>
  <si>
    <t>11/03/2026</t>
  </si>
  <si>
    <t>20/03/2026</t>
  </si>
  <si>
    <t xml:space="preserve">   DAVID ROMERO NAVARRO   </t>
  </si>
  <si>
    <t>24 pulgadas</t>
  </si>
  <si>
    <t>NAS</t>
  </si>
  <si>
    <t xml:space="preserve">   MARÍA GARCÍA SANTOS   </t>
  </si>
  <si>
    <t>30/03/2026</t>
  </si>
  <si>
    <t xml:space="preserve">  ANA MARTÍNEZ LÓPEZ  </t>
  </si>
  <si>
    <t>07/03/2026</t>
  </si>
  <si>
    <t xml:space="preserve">   JUAN PÉREZ GARRIDO   </t>
  </si>
  <si>
    <t xml:space="preserve">   JORGE ALONSO PRIETO   </t>
  </si>
  <si>
    <t>27/03/2026</t>
  </si>
  <si>
    <t>12/04/2026</t>
  </si>
  <si>
    <t>06/04/2026</t>
  </si>
  <si>
    <t>01/04/2026</t>
  </si>
  <si>
    <t>03/04/2026</t>
  </si>
  <si>
    <t>11/04/2026</t>
  </si>
  <si>
    <t xml:space="preserve">  LUIS GÓMEZ RUIZ  </t>
  </si>
  <si>
    <t>03/03/2026</t>
  </si>
  <si>
    <t>31/03/2026</t>
  </si>
  <si>
    <t>IVA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</si>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</sst>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N12" sqref="N12"/>
    </sheetView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</v>
      </c>
      <c r="M1" t="s">
        <v>116</v>
      </c>
      <c r="N1" t="s">
        <v>11</v>
      </c>
    </row>
    <row r="2" spans="1:14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>
        <v>450.1</v>
      </c>
      <c r="K2">
        <v>8</v>
      </c>
      <c r="L2">
        <v>0.05</v>
      </c>
      <c r="M2">
        <v>0.21</v>
      </c>
      <c r="N2">
        <f>J2*K2*(1-L2)*(1+M2)</f>
        <v>4139.1196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18</v>
      </c>
      <c r="J3">
        <v>74.34</v>
      </c>
      <c r="K3">
        <v>8</v>
      </c>
      <c r="L3">
        <v>0</v>
      </c>
      <c r="M3">
        <v>0.21</v>
      </c>
      <c r="N3">
        <f t="shared" ref="N3:N66" si="0">J3*K3*(1-L3)*(1+M3)</f>
        <v>719.61120000000005</v>
      </c>
    </row>
    <row r="4" spans="1:14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24</v>
      </c>
      <c r="H4" t="s">
        <v>30</v>
      </c>
      <c r="I4" t="s">
        <v>31</v>
      </c>
      <c r="J4">
        <v>489.47</v>
      </c>
      <c r="K4">
        <v>1</v>
      </c>
      <c r="L4">
        <v>0.05</v>
      </c>
      <c r="M4">
        <v>0.21</v>
      </c>
      <c r="N4">
        <f t="shared" si="0"/>
        <v>562.64576499999998</v>
      </c>
    </row>
    <row r="5" spans="1:14" x14ac:dyDescent="0.3">
      <c r="A5">
        <v>4</v>
      </c>
      <c r="B5" t="s">
        <v>32</v>
      </c>
      <c r="C5" t="s">
        <v>33</v>
      </c>
      <c r="D5" t="s">
        <v>14</v>
      </c>
      <c r="E5" t="s">
        <v>28</v>
      </c>
      <c r="F5" t="s">
        <v>34</v>
      </c>
      <c r="G5" t="s">
        <v>14</v>
      </c>
      <c r="H5" t="s">
        <v>35</v>
      </c>
      <c r="I5" t="s">
        <v>36</v>
      </c>
      <c r="J5">
        <v>73.790000000000006</v>
      </c>
      <c r="K5">
        <v>4</v>
      </c>
      <c r="L5">
        <v>0.1</v>
      </c>
      <c r="M5">
        <v>0.21</v>
      </c>
      <c r="N5">
        <f t="shared" si="0"/>
        <v>321.42923999999999</v>
      </c>
    </row>
    <row r="6" spans="1:14" x14ac:dyDescent="0.3">
      <c r="A6">
        <v>5</v>
      </c>
      <c r="B6" t="s">
        <v>19</v>
      </c>
      <c r="C6" t="s">
        <v>26</v>
      </c>
      <c r="D6" t="s">
        <v>27</v>
      </c>
      <c r="E6" t="s">
        <v>22</v>
      </c>
      <c r="F6" t="s">
        <v>37</v>
      </c>
      <c r="G6" t="s">
        <v>14</v>
      </c>
      <c r="H6" t="s">
        <v>30</v>
      </c>
      <c r="I6" t="s">
        <v>38</v>
      </c>
      <c r="J6">
        <v>584.41</v>
      </c>
      <c r="K6">
        <v>13</v>
      </c>
      <c r="L6">
        <v>0</v>
      </c>
      <c r="M6">
        <v>0.21</v>
      </c>
      <c r="N6">
        <f t="shared" si="0"/>
        <v>9192.7692999999999</v>
      </c>
    </row>
    <row r="7" spans="1:14" x14ac:dyDescent="0.3">
      <c r="A7">
        <v>6</v>
      </c>
      <c r="B7" t="s">
        <v>39</v>
      </c>
      <c r="C7" t="s">
        <v>33</v>
      </c>
      <c r="D7" t="s">
        <v>21</v>
      </c>
      <c r="E7" t="s">
        <v>15</v>
      </c>
      <c r="F7" t="s">
        <v>23</v>
      </c>
      <c r="G7" t="s">
        <v>40</v>
      </c>
      <c r="H7" t="s">
        <v>17</v>
      </c>
      <c r="I7" t="s">
        <v>18</v>
      </c>
      <c r="J7">
        <v>403.53</v>
      </c>
      <c r="K7">
        <v>25</v>
      </c>
      <c r="L7">
        <v>0.1</v>
      </c>
      <c r="M7">
        <v>0.21</v>
      </c>
      <c r="N7">
        <f t="shared" si="0"/>
        <v>10986.10425</v>
      </c>
    </row>
    <row r="8" spans="1:14" x14ac:dyDescent="0.3">
      <c r="A8">
        <v>7</v>
      </c>
      <c r="B8" t="s">
        <v>25</v>
      </c>
      <c r="C8" t="s">
        <v>26</v>
      </c>
      <c r="D8" t="s">
        <v>14</v>
      </c>
      <c r="E8" t="s">
        <v>22</v>
      </c>
      <c r="F8" t="s">
        <v>16</v>
      </c>
      <c r="G8" t="s">
        <v>14</v>
      </c>
      <c r="H8" t="s">
        <v>35</v>
      </c>
      <c r="I8" t="s">
        <v>41</v>
      </c>
      <c r="J8">
        <v>234.7</v>
      </c>
      <c r="K8">
        <v>7</v>
      </c>
      <c r="L8">
        <v>0.1</v>
      </c>
      <c r="M8">
        <v>0.21</v>
      </c>
      <c r="N8">
        <f t="shared" si="0"/>
        <v>1789.1180999999999</v>
      </c>
    </row>
    <row r="9" spans="1:14" x14ac:dyDescent="0.3">
      <c r="A9">
        <v>8</v>
      </c>
      <c r="B9" t="s">
        <v>42</v>
      </c>
      <c r="C9" t="s">
        <v>43</v>
      </c>
      <c r="D9" t="s">
        <v>27</v>
      </c>
      <c r="E9" t="s">
        <v>22</v>
      </c>
      <c r="F9" t="s">
        <v>44</v>
      </c>
      <c r="G9" t="s">
        <v>14</v>
      </c>
      <c r="H9" t="s">
        <v>45</v>
      </c>
      <c r="I9" t="s">
        <v>46</v>
      </c>
      <c r="J9">
        <v>442.89</v>
      </c>
      <c r="K9">
        <v>6</v>
      </c>
      <c r="L9">
        <v>0.15</v>
      </c>
      <c r="M9">
        <v>0.21</v>
      </c>
      <c r="N9">
        <f t="shared" si="0"/>
        <v>2733.0741899999998</v>
      </c>
    </row>
    <row r="10" spans="1:14" x14ac:dyDescent="0.3">
      <c r="A10">
        <v>9</v>
      </c>
      <c r="B10" t="s">
        <v>47</v>
      </c>
      <c r="C10" t="s">
        <v>48</v>
      </c>
      <c r="D10" t="s">
        <v>21</v>
      </c>
      <c r="E10" t="s">
        <v>49</v>
      </c>
      <c r="F10" t="s">
        <v>37</v>
      </c>
      <c r="G10" t="s">
        <v>24</v>
      </c>
      <c r="H10" t="s">
        <v>17</v>
      </c>
      <c r="I10" t="s">
        <v>50</v>
      </c>
      <c r="J10">
        <v>496.65</v>
      </c>
      <c r="K10">
        <v>11</v>
      </c>
      <c r="L10">
        <v>0.15</v>
      </c>
      <c r="M10">
        <v>0.21</v>
      </c>
      <c r="N10">
        <f t="shared" si="0"/>
        <v>5618.8497749999997</v>
      </c>
    </row>
    <row r="11" spans="1:14" x14ac:dyDescent="0.3">
      <c r="A11">
        <v>10</v>
      </c>
      <c r="B11" t="s">
        <v>51</v>
      </c>
      <c r="C11" t="s">
        <v>43</v>
      </c>
      <c r="D11" t="s">
        <v>27</v>
      </c>
      <c r="E11" t="s">
        <v>49</v>
      </c>
      <c r="F11" t="s">
        <v>44</v>
      </c>
      <c r="G11" t="s">
        <v>14</v>
      </c>
      <c r="H11" t="s">
        <v>52</v>
      </c>
      <c r="I11" t="s">
        <v>53</v>
      </c>
      <c r="J11">
        <v>533.12</v>
      </c>
      <c r="K11">
        <v>21</v>
      </c>
      <c r="L11">
        <v>0.15</v>
      </c>
      <c r="M11">
        <v>0.21</v>
      </c>
      <c r="N11">
        <f t="shared" si="0"/>
        <v>11514.592320000002</v>
      </c>
    </row>
    <row r="12" spans="1:14" x14ac:dyDescent="0.3">
      <c r="A12">
        <v>11</v>
      </c>
      <c r="B12" t="s">
        <v>54</v>
      </c>
      <c r="C12" t="s">
        <v>55</v>
      </c>
      <c r="D12" t="s">
        <v>21</v>
      </c>
      <c r="E12" t="s">
        <v>49</v>
      </c>
      <c r="F12" t="s">
        <v>56</v>
      </c>
      <c r="G12" t="s">
        <v>24</v>
      </c>
      <c r="H12" t="s">
        <v>30</v>
      </c>
      <c r="I12" t="s">
        <v>31</v>
      </c>
      <c r="J12">
        <v>453.27</v>
      </c>
      <c r="K12">
        <v>14</v>
      </c>
      <c r="L12">
        <v>0.15</v>
      </c>
      <c r="M12">
        <v>0.21</v>
      </c>
      <c r="N12">
        <f t="shared" si="0"/>
        <v>6526.6347299999989</v>
      </c>
    </row>
    <row r="13" spans="1:14" x14ac:dyDescent="0.3">
      <c r="A13">
        <v>12</v>
      </c>
      <c r="B13" t="s">
        <v>57</v>
      </c>
      <c r="C13" t="s">
        <v>58</v>
      </c>
      <c r="D13" t="s">
        <v>21</v>
      </c>
      <c r="E13" t="s">
        <v>59</v>
      </c>
      <c r="F13" t="s">
        <v>23</v>
      </c>
      <c r="G13" t="s">
        <v>14</v>
      </c>
      <c r="H13" t="s">
        <v>17</v>
      </c>
      <c r="I13" t="s">
        <v>50</v>
      </c>
      <c r="J13">
        <v>383.92</v>
      </c>
      <c r="K13">
        <v>22</v>
      </c>
      <c r="L13">
        <v>0.15</v>
      </c>
      <c r="M13">
        <v>0.21</v>
      </c>
      <c r="N13">
        <f t="shared" si="0"/>
        <v>8686.9578399999991</v>
      </c>
    </row>
    <row r="14" spans="1:14" x14ac:dyDescent="0.3">
      <c r="A14">
        <v>13</v>
      </c>
      <c r="B14" t="s">
        <v>60</v>
      </c>
      <c r="C14" t="s">
        <v>26</v>
      </c>
      <c r="D14" t="s">
        <v>14</v>
      </c>
      <c r="E14" t="s">
        <v>28</v>
      </c>
      <c r="F14" t="s">
        <v>37</v>
      </c>
      <c r="G14" t="s">
        <v>24</v>
      </c>
      <c r="H14" t="s">
        <v>30</v>
      </c>
      <c r="I14" t="s">
        <v>31</v>
      </c>
      <c r="J14">
        <v>583.23</v>
      </c>
      <c r="K14">
        <v>1</v>
      </c>
      <c r="L14">
        <v>0</v>
      </c>
      <c r="M14">
        <v>0.21</v>
      </c>
      <c r="N14">
        <f t="shared" si="0"/>
        <v>705.70830000000001</v>
      </c>
    </row>
    <row r="15" spans="1:14" x14ac:dyDescent="0.3">
      <c r="A15">
        <v>14</v>
      </c>
      <c r="B15" t="s">
        <v>61</v>
      </c>
      <c r="C15" t="s">
        <v>62</v>
      </c>
      <c r="D15" t="s">
        <v>21</v>
      </c>
      <c r="E15" t="s">
        <v>63</v>
      </c>
      <c r="F15" t="s">
        <v>16</v>
      </c>
      <c r="G15" t="s">
        <v>14</v>
      </c>
      <c r="H15" t="s">
        <v>52</v>
      </c>
      <c r="I15" t="s">
        <v>64</v>
      </c>
      <c r="J15">
        <v>283.16000000000003</v>
      </c>
      <c r="K15">
        <v>24</v>
      </c>
      <c r="L15">
        <v>0.1</v>
      </c>
      <c r="M15">
        <v>0.21</v>
      </c>
      <c r="N15">
        <f t="shared" si="0"/>
        <v>7400.6697599999998</v>
      </c>
    </row>
    <row r="16" spans="1:14" x14ac:dyDescent="0.3">
      <c r="A16">
        <v>15</v>
      </c>
      <c r="B16" t="s">
        <v>65</v>
      </c>
      <c r="C16" t="s">
        <v>66</v>
      </c>
      <c r="D16" t="s">
        <v>14</v>
      </c>
      <c r="E16" t="s">
        <v>15</v>
      </c>
      <c r="F16" t="s">
        <v>37</v>
      </c>
      <c r="G16" t="s">
        <v>40</v>
      </c>
      <c r="H16" t="s">
        <v>30</v>
      </c>
      <c r="I16" t="s">
        <v>67</v>
      </c>
      <c r="J16">
        <v>135.37</v>
      </c>
      <c r="K16">
        <v>12</v>
      </c>
      <c r="L16">
        <v>0.05</v>
      </c>
      <c r="M16">
        <v>0.21</v>
      </c>
      <c r="N16">
        <f t="shared" si="0"/>
        <v>1867.29378</v>
      </c>
    </row>
    <row r="17" spans="1:14" x14ac:dyDescent="0.3">
      <c r="A17">
        <v>16</v>
      </c>
      <c r="B17" t="s">
        <v>68</v>
      </c>
      <c r="C17" t="s">
        <v>58</v>
      </c>
      <c r="D17" t="s">
        <v>21</v>
      </c>
      <c r="E17" t="s">
        <v>63</v>
      </c>
      <c r="F17" t="s">
        <v>16</v>
      </c>
      <c r="G17" t="s">
        <v>24</v>
      </c>
      <c r="H17" t="s">
        <v>17</v>
      </c>
      <c r="I17" t="s">
        <v>69</v>
      </c>
      <c r="J17">
        <v>529.66</v>
      </c>
      <c r="K17">
        <v>1</v>
      </c>
      <c r="L17">
        <v>0.05</v>
      </c>
      <c r="M17">
        <v>0.21</v>
      </c>
      <c r="N17">
        <f t="shared" si="0"/>
        <v>608.84416999999996</v>
      </c>
    </row>
    <row r="18" spans="1:14" x14ac:dyDescent="0.3">
      <c r="A18">
        <v>17</v>
      </c>
      <c r="B18" t="s">
        <v>12</v>
      </c>
      <c r="C18" t="s">
        <v>70</v>
      </c>
      <c r="D18" t="s">
        <v>14</v>
      </c>
      <c r="E18" t="s">
        <v>59</v>
      </c>
      <c r="F18" t="s">
        <v>71</v>
      </c>
      <c r="G18" t="s">
        <v>40</v>
      </c>
      <c r="H18" t="s">
        <v>52</v>
      </c>
      <c r="I18" t="s">
        <v>64</v>
      </c>
      <c r="J18">
        <v>587.23</v>
      </c>
      <c r="K18">
        <v>18</v>
      </c>
      <c r="L18">
        <v>0.05</v>
      </c>
      <c r="M18">
        <v>0.21</v>
      </c>
      <c r="N18">
        <f t="shared" si="0"/>
        <v>12150.37593</v>
      </c>
    </row>
    <row r="19" spans="1:14" x14ac:dyDescent="0.3">
      <c r="A19">
        <v>18</v>
      </c>
      <c r="B19" t="s">
        <v>72</v>
      </c>
      <c r="C19" t="s">
        <v>73</v>
      </c>
      <c r="D19" t="s">
        <v>27</v>
      </c>
      <c r="E19" t="s">
        <v>59</v>
      </c>
      <c r="F19" t="s">
        <v>37</v>
      </c>
      <c r="G19" t="s">
        <v>40</v>
      </c>
      <c r="H19" t="s">
        <v>30</v>
      </c>
      <c r="I19" t="s">
        <v>31</v>
      </c>
      <c r="J19">
        <v>579.33000000000004</v>
      </c>
      <c r="K19">
        <v>18</v>
      </c>
      <c r="L19">
        <v>0.05</v>
      </c>
      <c r="M19">
        <v>0.21</v>
      </c>
      <c r="N19">
        <f t="shared" si="0"/>
        <v>11986.917029999999</v>
      </c>
    </row>
    <row r="20" spans="1:14" x14ac:dyDescent="0.3">
      <c r="A20">
        <v>19</v>
      </c>
      <c r="B20" t="s">
        <v>74</v>
      </c>
      <c r="C20" t="s">
        <v>55</v>
      </c>
      <c r="D20" t="s">
        <v>14</v>
      </c>
      <c r="E20" t="s">
        <v>63</v>
      </c>
      <c r="F20" t="s">
        <v>44</v>
      </c>
      <c r="G20" t="s">
        <v>14</v>
      </c>
      <c r="H20" t="s">
        <v>52</v>
      </c>
      <c r="I20" t="s">
        <v>64</v>
      </c>
      <c r="J20">
        <v>163.79</v>
      </c>
      <c r="K20">
        <v>3</v>
      </c>
      <c r="L20">
        <v>0.1</v>
      </c>
      <c r="M20">
        <v>0.21</v>
      </c>
      <c r="N20">
        <f t="shared" si="0"/>
        <v>535.10193000000004</v>
      </c>
    </row>
    <row r="21" spans="1:14" x14ac:dyDescent="0.3">
      <c r="A21">
        <v>20</v>
      </c>
      <c r="B21" t="s">
        <v>75</v>
      </c>
      <c r="C21" t="s">
        <v>33</v>
      </c>
      <c r="D21" t="s">
        <v>21</v>
      </c>
      <c r="E21" t="s">
        <v>28</v>
      </c>
      <c r="F21" t="s">
        <v>16</v>
      </c>
      <c r="G21" t="s">
        <v>14</v>
      </c>
      <c r="H21" t="s">
        <v>17</v>
      </c>
      <c r="I21" t="s">
        <v>18</v>
      </c>
      <c r="J21">
        <v>430.55</v>
      </c>
      <c r="K21">
        <v>2</v>
      </c>
      <c r="L21">
        <v>0.05</v>
      </c>
      <c r="M21">
        <v>0.21</v>
      </c>
      <c r="N21">
        <f t="shared" si="0"/>
        <v>989.83444999999995</v>
      </c>
    </row>
    <row r="22" spans="1:14" x14ac:dyDescent="0.3">
      <c r="A22">
        <v>21</v>
      </c>
      <c r="B22" t="s">
        <v>76</v>
      </c>
      <c r="C22" t="s">
        <v>77</v>
      </c>
      <c r="D22" t="s">
        <v>27</v>
      </c>
      <c r="E22" t="s">
        <v>59</v>
      </c>
      <c r="F22" t="s">
        <v>44</v>
      </c>
      <c r="G22" t="s">
        <v>24</v>
      </c>
      <c r="H22" t="s">
        <v>35</v>
      </c>
      <c r="I22" t="s">
        <v>78</v>
      </c>
      <c r="J22">
        <v>144.26</v>
      </c>
      <c r="K22">
        <v>5</v>
      </c>
      <c r="L22">
        <v>0.15</v>
      </c>
      <c r="M22">
        <v>0.21</v>
      </c>
      <c r="N22">
        <f t="shared" si="0"/>
        <v>741.85704999999984</v>
      </c>
    </row>
    <row r="23" spans="1:14" x14ac:dyDescent="0.3">
      <c r="A23">
        <v>22</v>
      </c>
      <c r="B23" t="s">
        <v>60</v>
      </c>
      <c r="C23" t="s">
        <v>79</v>
      </c>
      <c r="D23" t="s">
        <v>14</v>
      </c>
      <c r="E23" t="s">
        <v>22</v>
      </c>
      <c r="F23" t="s">
        <v>16</v>
      </c>
      <c r="G23" t="s">
        <v>24</v>
      </c>
      <c r="H23" t="s">
        <v>52</v>
      </c>
      <c r="I23" t="s">
        <v>53</v>
      </c>
      <c r="J23">
        <v>265.68</v>
      </c>
      <c r="K23">
        <v>15</v>
      </c>
      <c r="L23">
        <v>0</v>
      </c>
      <c r="M23">
        <v>0.21</v>
      </c>
      <c r="N23">
        <f t="shared" si="0"/>
        <v>4822.0920000000006</v>
      </c>
    </row>
    <row r="24" spans="1:14" x14ac:dyDescent="0.3">
      <c r="A24">
        <v>23</v>
      </c>
      <c r="B24" t="s">
        <v>12</v>
      </c>
      <c r="C24" t="s">
        <v>80</v>
      </c>
      <c r="D24" t="s">
        <v>27</v>
      </c>
      <c r="E24" t="s">
        <v>49</v>
      </c>
      <c r="F24" t="s">
        <v>29</v>
      </c>
      <c r="G24" t="s">
        <v>40</v>
      </c>
      <c r="H24" t="s">
        <v>35</v>
      </c>
      <c r="I24" t="s">
        <v>36</v>
      </c>
      <c r="J24">
        <v>164.22</v>
      </c>
      <c r="K24">
        <v>7</v>
      </c>
      <c r="L24">
        <v>0.15</v>
      </c>
      <c r="M24">
        <v>0.21</v>
      </c>
      <c r="N24">
        <f t="shared" si="0"/>
        <v>1182.30189</v>
      </c>
    </row>
    <row r="25" spans="1:14" x14ac:dyDescent="0.3">
      <c r="A25">
        <v>24</v>
      </c>
      <c r="B25" t="s">
        <v>68</v>
      </c>
      <c r="C25" t="s">
        <v>33</v>
      </c>
      <c r="D25" t="s">
        <v>14</v>
      </c>
      <c r="E25" t="s">
        <v>63</v>
      </c>
      <c r="F25" t="s">
        <v>34</v>
      </c>
      <c r="G25" t="s">
        <v>24</v>
      </c>
      <c r="H25" t="s">
        <v>17</v>
      </c>
      <c r="I25" t="s">
        <v>81</v>
      </c>
      <c r="J25">
        <v>488.65</v>
      </c>
      <c r="K25">
        <v>18</v>
      </c>
      <c r="L25">
        <v>0</v>
      </c>
      <c r="M25">
        <v>0.21</v>
      </c>
      <c r="N25">
        <f t="shared" si="0"/>
        <v>10642.796999999999</v>
      </c>
    </row>
    <row r="26" spans="1:14" x14ac:dyDescent="0.3">
      <c r="A26">
        <v>25</v>
      </c>
      <c r="B26" t="s">
        <v>68</v>
      </c>
      <c r="C26" t="s">
        <v>77</v>
      </c>
      <c r="D26" t="s">
        <v>21</v>
      </c>
      <c r="E26" t="s">
        <v>59</v>
      </c>
      <c r="F26" t="s">
        <v>34</v>
      </c>
      <c r="G26" t="s">
        <v>40</v>
      </c>
      <c r="H26" t="s">
        <v>45</v>
      </c>
      <c r="I26" t="s">
        <v>82</v>
      </c>
      <c r="J26">
        <v>301.67</v>
      </c>
      <c r="K26">
        <v>7</v>
      </c>
      <c r="L26">
        <v>0.15</v>
      </c>
      <c r="M26">
        <v>0.21</v>
      </c>
      <c r="N26">
        <f t="shared" si="0"/>
        <v>2171.873165</v>
      </c>
    </row>
    <row r="27" spans="1:14" x14ac:dyDescent="0.3">
      <c r="A27">
        <v>26</v>
      </c>
      <c r="B27" t="s">
        <v>51</v>
      </c>
      <c r="C27" t="s">
        <v>62</v>
      </c>
      <c r="D27" t="s">
        <v>21</v>
      </c>
      <c r="E27" t="s">
        <v>28</v>
      </c>
      <c r="F27" t="s">
        <v>44</v>
      </c>
      <c r="G27" t="s">
        <v>24</v>
      </c>
      <c r="H27" t="s">
        <v>52</v>
      </c>
      <c r="I27" t="s">
        <v>53</v>
      </c>
      <c r="J27">
        <v>265.33999999999997</v>
      </c>
      <c r="K27">
        <v>24</v>
      </c>
      <c r="L27">
        <v>0.15</v>
      </c>
      <c r="M27">
        <v>0.21</v>
      </c>
      <c r="N27">
        <f t="shared" si="0"/>
        <v>6549.6525599999995</v>
      </c>
    </row>
    <row r="28" spans="1:14" x14ac:dyDescent="0.3">
      <c r="A28">
        <v>27</v>
      </c>
      <c r="B28" t="s">
        <v>83</v>
      </c>
      <c r="C28" t="s">
        <v>84</v>
      </c>
      <c r="D28" t="s">
        <v>27</v>
      </c>
      <c r="E28" t="s">
        <v>63</v>
      </c>
      <c r="F28" t="s">
        <v>71</v>
      </c>
      <c r="G28" t="s">
        <v>24</v>
      </c>
      <c r="H28" t="s">
        <v>30</v>
      </c>
      <c r="I28" t="s">
        <v>38</v>
      </c>
      <c r="J28">
        <v>453.83</v>
      </c>
      <c r="K28">
        <v>2</v>
      </c>
      <c r="L28">
        <v>0</v>
      </c>
      <c r="M28">
        <v>0.21</v>
      </c>
      <c r="N28">
        <f t="shared" si="0"/>
        <v>1098.2685999999999</v>
      </c>
    </row>
    <row r="29" spans="1:14" x14ac:dyDescent="0.3">
      <c r="A29">
        <v>28</v>
      </c>
      <c r="B29" t="s">
        <v>85</v>
      </c>
      <c r="C29" t="s">
        <v>73</v>
      </c>
      <c r="D29" t="s">
        <v>21</v>
      </c>
      <c r="E29" t="s">
        <v>63</v>
      </c>
      <c r="F29" t="s">
        <v>44</v>
      </c>
      <c r="G29" t="s">
        <v>14</v>
      </c>
      <c r="H29" t="s">
        <v>17</v>
      </c>
      <c r="I29" t="s">
        <v>50</v>
      </c>
      <c r="J29">
        <v>59.74</v>
      </c>
      <c r="K29">
        <v>3</v>
      </c>
      <c r="L29">
        <v>0.05</v>
      </c>
      <c r="M29">
        <v>0.21</v>
      </c>
      <c r="N29">
        <f t="shared" si="0"/>
        <v>206.01338999999999</v>
      </c>
    </row>
    <row r="30" spans="1:14" x14ac:dyDescent="0.3">
      <c r="A30">
        <v>29</v>
      </c>
      <c r="B30" t="s">
        <v>86</v>
      </c>
      <c r="C30" t="s">
        <v>84</v>
      </c>
      <c r="D30" t="s">
        <v>21</v>
      </c>
      <c r="E30" t="s">
        <v>22</v>
      </c>
      <c r="F30" t="s">
        <v>37</v>
      </c>
      <c r="G30" t="s">
        <v>24</v>
      </c>
      <c r="H30" t="s">
        <v>17</v>
      </c>
      <c r="I30" t="s">
        <v>18</v>
      </c>
      <c r="J30">
        <v>263.14999999999998</v>
      </c>
      <c r="K30">
        <v>19</v>
      </c>
      <c r="L30">
        <v>0.1</v>
      </c>
      <c r="M30">
        <v>0.21</v>
      </c>
      <c r="N30">
        <f t="shared" si="0"/>
        <v>5444.8366499999993</v>
      </c>
    </row>
    <row r="31" spans="1:14" x14ac:dyDescent="0.3">
      <c r="A31">
        <v>30</v>
      </c>
      <c r="B31" t="s">
        <v>87</v>
      </c>
      <c r="C31" t="s">
        <v>62</v>
      </c>
      <c r="D31" t="s">
        <v>21</v>
      </c>
      <c r="E31" t="s">
        <v>15</v>
      </c>
      <c r="F31" t="s">
        <v>56</v>
      </c>
      <c r="G31" t="s">
        <v>14</v>
      </c>
      <c r="H31" t="s">
        <v>52</v>
      </c>
      <c r="I31" t="s">
        <v>64</v>
      </c>
      <c r="J31">
        <v>409.58</v>
      </c>
      <c r="K31">
        <v>1</v>
      </c>
      <c r="L31">
        <v>0.15</v>
      </c>
      <c r="M31">
        <v>0.21</v>
      </c>
      <c r="N31">
        <f t="shared" si="0"/>
        <v>421.25302999999997</v>
      </c>
    </row>
    <row r="32" spans="1:14" x14ac:dyDescent="0.3">
      <c r="A32">
        <v>31</v>
      </c>
      <c r="B32" t="s">
        <v>12</v>
      </c>
      <c r="C32" t="s">
        <v>84</v>
      </c>
      <c r="D32" t="s">
        <v>27</v>
      </c>
      <c r="E32" t="s">
        <v>15</v>
      </c>
      <c r="F32" t="s">
        <v>44</v>
      </c>
      <c r="G32" t="s">
        <v>40</v>
      </c>
      <c r="H32" t="s">
        <v>17</v>
      </c>
      <c r="I32" t="s">
        <v>18</v>
      </c>
      <c r="J32">
        <v>331.83</v>
      </c>
      <c r="K32">
        <v>17</v>
      </c>
      <c r="L32">
        <v>0.1</v>
      </c>
      <c r="M32">
        <v>0.21</v>
      </c>
      <c r="N32">
        <f t="shared" si="0"/>
        <v>6143.1687899999997</v>
      </c>
    </row>
    <row r="33" spans="1:14" x14ac:dyDescent="0.3">
      <c r="A33">
        <v>32</v>
      </c>
      <c r="B33" t="s">
        <v>88</v>
      </c>
      <c r="C33" t="s">
        <v>62</v>
      </c>
      <c r="D33" t="s">
        <v>14</v>
      </c>
      <c r="E33" t="s">
        <v>63</v>
      </c>
      <c r="F33" t="s">
        <v>34</v>
      </c>
      <c r="G33" t="s">
        <v>14</v>
      </c>
      <c r="H33" t="s">
        <v>45</v>
      </c>
      <c r="I33" t="s">
        <v>82</v>
      </c>
      <c r="J33">
        <v>503.57</v>
      </c>
      <c r="K33">
        <v>23</v>
      </c>
      <c r="L33">
        <v>0.1</v>
      </c>
      <c r="M33">
        <v>0.21</v>
      </c>
      <c r="N33">
        <f t="shared" si="0"/>
        <v>12612.917790000001</v>
      </c>
    </row>
    <row r="34" spans="1:14" x14ac:dyDescent="0.3">
      <c r="A34">
        <v>33</v>
      </c>
      <c r="B34" t="s">
        <v>89</v>
      </c>
      <c r="C34" t="s">
        <v>55</v>
      </c>
      <c r="D34" t="s">
        <v>21</v>
      </c>
      <c r="E34" t="s">
        <v>22</v>
      </c>
      <c r="F34" t="s">
        <v>71</v>
      </c>
      <c r="G34" t="s">
        <v>40</v>
      </c>
      <c r="H34" t="s">
        <v>35</v>
      </c>
      <c r="I34" t="s">
        <v>36</v>
      </c>
      <c r="J34">
        <v>564.58000000000004</v>
      </c>
      <c r="K34">
        <v>5</v>
      </c>
      <c r="L34">
        <v>0.1</v>
      </c>
      <c r="M34">
        <v>0.21</v>
      </c>
      <c r="N34">
        <f t="shared" si="0"/>
        <v>3074.1381000000001</v>
      </c>
    </row>
    <row r="35" spans="1:14" x14ac:dyDescent="0.3">
      <c r="A35">
        <v>34</v>
      </c>
      <c r="B35" t="s">
        <v>61</v>
      </c>
      <c r="C35" t="s">
        <v>62</v>
      </c>
      <c r="D35" t="s">
        <v>27</v>
      </c>
      <c r="E35" t="s">
        <v>28</v>
      </c>
      <c r="F35" t="s">
        <v>34</v>
      </c>
      <c r="G35" t="s">
        <v>24</v>
      </c>
      <c r="H35" t="s">
        <v>30</v>
      </c>
      <c r="I35" t="s">
        <v>38</v>
      </c>
      <c r="J35">
        <v>436.22</v>
      </c>
      <c r="K35">
        <v>7</v>
      </c>
      <c r="L35">
        <v>0.1</v>
      </c>
      <c r="M35">
        <v>0.21</v>
      </c>
      <c r="N35">
        <f t="shared" si="0"/>
        <v>3325.3050600000001</v>
      </c>
    </row>
    <row r="36" spans="1:14" x14ac:dyDescent="0.3">
      <c r="A36">
        <v>35</v>
      </c>
      <c r="B36" t="s">
        <v>90</v>
      </c>
      <c r="C36" t="s">
        <v>13</v>
      </c>
      <c r="D36" t="s">
        <v>27</v>
      </c>
      <c r="E36" t="s">
        <v>49</v>
      </c>
      <c r="F36" t="s">
        <v>56</v>
      </c>
      <c r="G36" t="s">
        <v>14</v>
      </c>
      <c r="H36" t="s">
        <v>52</v>
      </c>
      <c r="I36" t="s">
        <v>53</v>
      </c>
      <c r="J36">
        <v>45.57</v>
      </c>
      <c r="K36">
        <v>11</v>
      </c>
      <c r="L36">
        <v>0.05</v>
      </c>
      <c r="M36">
        <v>0.21</v>
      </c>
      <c r="N36">
        <f t="shared" si="0"/>
        <v>576.20986499999992</v>
      </c>
    </row>
    <row r="37" spans="1:14" x14ac:dyDescent="0.3">
      <c r="A37">
        <v>36</v>
      </c>
      <c r="B37" t="s">
        <v>65</v>
      </c>
      <c r="C37" t="s">
        <v>91</v>
      </c>
      <c r="D37" t="s">
        <v>21</v>
      </c>
      <c r="E37" t="s">
        <v>28</v>
      </c>
      <c r="F37" t="s">
        <v>71</v>
      </c>
      <c r="G37" t="s">
        <v>40</v>
      </c>
      <c r="H37" t="s">
        <v>52</v>
      </c>
      <c r="I37" t="s">
        <v>92</v>
      </c>
      <c r="J37">
        <v>25.61</v>
      </c>
      <c r="K37">
        <v>3</v>
      </c>
      <c r="L37">
        <v>0.05</v>
      </c>
      <c r="M37">
        <v>0.21</v>
      </c>
      <c r="N37">
        <f t="shared" si="0"/>
        <v>88.316085000000001</v>
      </c>
    </row>
    <row r="38" spans="1:14" x14ac:dyDescent="0.3">
      <c r="A38">
        <v>37</v>
      </c>
      <c r="B38" t="s">
        <v>93</v>
      </c>
      <c r="C38" t="s">
        <v>94</v>
      </c>
      <c r="D38" t="s">
        <v>14</v>
      </c>
      <c r="E38" t="s">
        <v>49</v>
      </c>
      <c r="F38" t="s">
        <v>16</v>
      </c>
      <c r="G38" t="s">
        <v>40</v>
      </c>
      <c r="H38" t="s">
        <v>17</v>
      </c>
      <c r="I38" t="s">
        <v>69</v>
      </c>
      <c r="J38">
        <v>231.5</v>
      </c>
      <c r="K38">
        <v>2</v>
      </c>
      <c r="L38">
        <v>0.1</v>
      </c>
      <c r="M38">
        <v>0.21</v>
      </c>
      <c r="N38">
        <f t="shared" si="0"/>
        <v>504.20699999999999</v>
      </c>
    </row>
    <row r="39" spans="1:14" x14ac:dyDescent="0.3">
      <c r="A39">
        <v>38</v>
      </c>
      <c r="B39" t="s">
        <v>95</v>
      </c>
      <c r="C39" t="s">
        <v>73</v>
      </c>
      <c r="D39" t="s">
        <v>27</v>
      </c>
      <c r="E39" t="s">
        <v>15</v>
      </c>
      <c r="F39" t="s">
        <v>71</v>
      </c>
      <c r="G39" t="s">
        <v>14</v>
      </c>
      <c r="H39" t="s">
        <v>52</v>
      </c>
      <c r="I39" t="s">
        <v>92</v>
      </c>
      <c r="J39">
        <v>454.7</v>
      </c>
      <c r="K39">
        <v>8</v>
      </c>
      <c r="L39">
        <v>0.05</v>
      </c>
      <c r="M39">
        <v>0.21</v>
      </c>
      <c r="N39">
        <f t="shared" si="0"/>
        <v>4181.4211999999998</v>
      </c>
    </row>
    <row r="40" spans="1:14" x14ac:dyDescent="0.3">
      <c r="A40">
        <v>39</v>
      </c>
      <c r="B40" t="s">
        <v>96</v>
      </c>
      <c r="C40" t="s">
        <v>48</v>
      </c>
      <c r="D40" t="s">
        <v>14</v>
      </c>
      <c r="E40" t="s">
        <v>15</v>
      </c>
      <c r="F40" t="s">
        <v>23</v>
      </c>
      <c r="G40" t="s">
        <v>24</v>
      </c>
      <c r="H40" t="s">
        <v>52</v>
      </c>
      <c r="I40" t="s">
        <v>92</v>
      </c>
      <c r="J40">
        <v>521.16</v>
      </c>
      <c r="K40">
        <v>8</v>
      </c>
      <c r="L40">
        <v>0.1</v>
      </c>
      <c r="M40">
        <v>0.21</v>
      </c>
      <c r="N40">
        <f t="shared" si="0"/>
        <v>4540.3459199999998</v>
      </c>
    </row>
    <row r="41" spans="1:14" x14ac:dyDescent="0.3">
      <c r="A41">
        <v>40</v>
      </c>
      <c r="B41" t="s">
        <v>97</v>
      </c>
      <c r="C41" t="s">
        <v>98</v>
      </c>
      <c r="D41" t="s">
        <v>21</v>
      </c>
      <c r="E41" t="s">
        <v>49</v>
      </c>
      <c r="F41" t="s">
        <v>34</v>
      </c>
      <c r="G41" t="s">
        <v>14</v>
      </c>
      <c r="H41" t="s">
        <v>45</v>
      </c>
      <c r="I41" t="s">
        <v>99</v>
      </c>
      <c r="J41">
        <v>493.62</v>
      </c>
      <c r="K41">
        <v>15</v>
      </c>
      <c r="L41">
        <v>0.1</v>
      </c>
      <c r="M41">
        <v>0.21</v>
      </c>
      <c r="N41">
        <f t="shared" si="0"/>
        <v>8063.2826999999997</v>
      </c>
    </row>
    <row r="42" spans="1:14" x14ac:dyDescent="0.3">
      <c r="A42">
        <v>41</v>
      </c>
      <c r="B42" t="s">
        <v>32</v>
      </c>
      <c r="C42" t="s">
        <v>77</v>
      </c>
      <c r="D42" t="s">
        <v>14</v>
      </c>
      <c r="E42" t="s">
        <v>63</v>
      </c>
      <c r="F42" t="s">
        <v>23</v>
      </c>
      <c r="G42" t="s">
        <v>14</v>
      </c>
      <c r="H42" t="s">
        <v>52</v>
      </c>
      <c r="I42" t="s">
        <v>53</v>
      </c>
      <c r="J42">
        <v>181.59</v>
      </c>
      <c r="K42">
        <v>3</v>
      </c>
      <c r="L42">
        <v>0.1</v>
      </c>
      <c r="M42">
        <v>0.21</v>
      </c>
      <c r="N42">
        <f t="shared" si="0"/>
        <v>593.25453000000005</v>
      </c>
    </row>
    <row r="43" spans="1:14" x14ac:dyDescent="0.3">
      <c r="A43">
        <v>42</v>
      </c>
      <c r="B43" t="s">
        <v>83</v>
      </c>
      <c r="C43" t="s">
        <v>73</v>
      </c>
      <c r="D43" t="s">
        <v>27</v>
      </c>
      <c r="E43" t="s">
        <v>15</v>
      </c>
      <c r="F43" t="s">
        <v>16</v>
      </c>
      <c r="G43" t="s">
        <v>14</v>
      </c>
      <c r="H43" t="s">
        <v>35</v>
      </c>
      <c r="I43" t="s">
        <v>36</v>
      </c>
      <c r="J43">
        <v>86.9</v>
      </c>
      <c r="K43">
        <v>9</v>
      </c>
      <c r="L43">
        <v>0.05</v>
      </c>
      <c r="M43">
        <v>0.21</v>
      </c>
      <c r="N43">
        <f t="shared" si="0"/>
        <v>899.02395000000001</v>
      </c>
    </row>
    <row r="44" spans="1:14" x14ac:dyDescent="0.3">
      <c r="A44">
        <v>43</v>
      </c>
      <c r="B44" t="s">
        <v>42</v>
      </c>
      <c r="C44" t="s">
        <v>80</v>
      </c>
      <c r="D44" t="s">
        <v>14</v>
      </c>
      <c r="E44" t="s">
        <v>49</v>
      </c>
      <c r="F44" t="s">
        <v>29</v>
      </c>
      <c r="G44" t="s">
        <v>24</v>
      </c>
      <c r="H44" t="s">
        <v>35</v>
      </c>
      <c r="I44" t="s">
        <v>100</v>
      </c>
      <c r="J44">
        <v>273.11</v>
      </c>
      <c r="K44">
        <v>17</v>
      </c>
      <c r="L44">
        <v>0</v>
      </c>
      <c r="M44">
        <v>0.21</v>
      </c>
      <c r="N44">
        <f t="shared" si="0"/>
        <v>5617.8726999999999</v>
      </c>
    </row>
    <row r="45" spans="1:14" x14ac:dyDescent="0.3">
      <c r="A45">
        <v>44</v>
      </c>
      <c r="B45" t="s">
        <v>54</v>
      </c>
      <c r="C45" t="s">
        <v>91</v>
      </c>
      <c r="D45" t="s">
        <v>27</v>
      </c>
      <c r="E45" t="s">
        <v>15</v>
      </c>
      <c r="F45" t="s">
        <v>37</v>
      </c>
      <c r="G45" t="s">
        <v>14</v>
      </c>
      <c r="H45" t="s">
        <v>52</v>
      </c>
      <c r="I45" t="s">
        <v>64</v>
      </c>
      <c r="J45">
        <v>321.55</v>
      </c>
      <c r="K45">
        <v>18</v>
      </c>
      <c r="L45">
        <v>0.05</v>
      </c>
      <c r="M45">
        <v>0.21</v>
      </c>
      <c r="N45">
        <f t="shared" si="0"/>
        <v>6653.1910500000004</v>
      </c>
    </row>
    <row r="46" spans="1:14" x14ac:dyDescent="0.3">
      <c r="A46">
        <v>45</v>
      </c>
      <c r="B46" t="s">
        <v>87</v>
      </c>
      <c r="C46" t="s">
        <v>48</v>
      </c>
      <c r="D46" t="s">
        <v>27</v>
      </c>
      <c r="E46" t="s">
        <v>22</v>
      </c>
      <c r="F46" t="s">
        <v>29</v>
      </c>
      <c r="G46" t="s">
        <v>14</v>
      </c>
      <c r="H46" t="s">
        <v>17</v>
      </c>
      <c r="I46" t="s">
        <v>69</v>
      </c>
      <c r="J46">
        <v>314.13</v>
      </c>
      <c r="K46">
        <v>22</v>
      </c>
      <c r="L46">
        <v>0.15</v>
      </c>
      <c r="M46">
        <v>0.21</v>
      </c>
      <c r="N46">
        <f t="shared" si="0"/>
        <v>7107.8195099999994</v>
      </c>
    </row>
    <row r="47" spans="1:14" x14ac:dyDescent="0.3">
      <c r="A47">
        <v>46</v>
      </c>
      <c r="B47" t="s">
        <v>88</v>
      </c>
      <c r="C47" t="s">
        <v>101</v>
      </c>
      <c r="D47" t="s">
        <v>14</v>
      </c>
      <c r="E47" t="s">
        <v>28</v>
      </c>
      <c r="F47" t="s">
        <v>23</v>
      </c>
      <c r="G47" t="s">
        <v>14</v>
      </c>
      <c r="H47" t="s">
        <v>45</v>
      </c>
      <c r="I47" t="s">
        <v>82</v>
      </c>
      <c r="J47">
        <v>405.66</v>
      </c>
      <c r="K47">
        <v>13</v>
      </c>
      <c r="L47">
        <v>0.05</v>
      </c>
      <c r="M47">
        <v>0.21</v>
      </c>
      <c r="N47">
        <f t="shared" si="0"/>
        <v>6061.9802099999997</v>
      </c>
    </row>
    <row r="48" spans="1:14" x14ac:dyDescent="0.3">
      <c r="A48">
        <v>47</v>
      </c>
      <c r="B48" t="s">
        <v>102</v>
      </c>
      <c r="C48" t="s">
        <v>103</v>
      </c>
      <c r="D48" t="s">
        <v>27</v>
      </c>
      <c r="E48" t="s">
        <v>59</v>
      </c>
      <c r="F48" t="s">
        <v>44</v>
      </c>
      <c r="G48" t="s">
        <v>14</v>
      </c>
      <c r="H48" t="s">
        <v>35</v>
      </c>
      <c r="I48" t="s">
        <v>100</v>
      </c>
      <c r="J48">
        <v>141.91</v>
      </c>
      <c r="K48">
        <v>19</v>
      </c>
      <c r="L48">
        <v>0.1</v>
      </c>
      <c r="M48">
        <v>0.21</v>
      </c>
      <c r="N48">
        <f t="shared" si="0"/>
        <v>2936.25981</v>
      </c>
    </row>
    <row r="49" spans="1:14" x14ac:dyDescent="0.3">
      <c r="A49">
        <v>48</v>
      </c>
      <c r="B49" t="s">
        <v>39</v>
      </c>
      <c r="C49" t="s">
        <v>98</v>
      </c>
      <c r="D49" t="s">
        <v>21</v>
      </c>
      <c r="E49" t="s">
        <v>22</v>
      </c>
      <c r="F49" t="s">
        <v>29</v>
      </c>
      <c r="G49" t="s">
        <v>24</v>
      </c>
      <c r="H49" t="s">
        <v>45</v>
      </c>
      <c r="I49" t="s">
        <v>46</v>
      </c>
      <c r="J49">
        <v>69.180000000000007</v>
      </c>
      <c r="K49">
        <v>17</v>
      </c>
      <c r="L49">
        <v>0.1</v>
      </c>
      <c r="M49">
        <v>0.21</v>
      </c>
      <c r="N49">
        <f t="shared" si="0"/>
        <v>1280.7293400000001</v>
      </c>
    </row>
    <row r="50" spans="1:14" x14ac:dyDescent="0.3">
      <c r="A50">
        <v>49</v>
      </c>
      <c r="B50" t="s">
        <v>102</v>
      </c>
      <c r="C50" t="s">
        <v>77</v>
      </c>
      <c r="D50" t="s">
        <v>27</v>
      </c>
      <c r="E50" t="s">
        <v>22</v>
      </c>
      <c r="F50" t="s">
        <v>44</v>
      </c>
      <c r="G50" t="s">
        <v>14</v>
      </c>
      <c r="H50" t="s">
        <v>45</v>
      </c>
      <c r="I50" t="s">
        <v>99</v>
      </c>
      <c r="J50">
        <v>46.8</v>
      </c>
      <c r="K50">
        <v>16</v>
      </c>
      <c r="L50">
        <v>0</v>
      </c>
      <c r="M50">
        <v>0.21</v>
      </c>
      <c r="N50">
        <f t="shared" si="0"/>
        <v>906.04799999999989</v>
      </c>
    </row>
    <row r="51" spans="1:14" x14ac:dyDescent="0.3">
      <c r="A51">
        <v>50</v>
      </c>
      <c r="B51" t="s">
        <v>104</v>
      </c>
      <c r="C51" t="s">
        <v>91</v>
      </c>
      <c r="D51" t="s">
        <v>27</v>
      </c>
      <c r="E51" t="s">
        <v>49</v>
      </c>
      <c r="F51" t="s">
        <v>71</v>
      </c>
      <c r="G51" t="s">
        <v>14</v>
      </c>
      <c r="H51" t="s">
        <v>52</v>
      </c>
      <c r="I51" t="s">
        <v>53</v>
      </c>
      <c r="J51">
        <v>251.8</v>
      </c>
      <c r="K51">
        <v>5</v>
      </c>
      <c r="L51">
        <v>0</v>
      </c>
      <c r="M51">
        <v>0.21</v>
      </c>
      <c r="N51">
        <f t="shared" si="0"/>
        <v>1523.3899999999999</v>
      </c>
    </row>
    <row r="52" spans="1:14" x14ac:dyDescent="0.3">
      <c r="A52">
        <v>51</v>
      </c>
      <c r="B52" t="s">
        <v>12</v>
      </c>
      <c r="C52" t="s">
        <v>55</v>
      </c>
      <c r="D52" t="s">
        <v>27</v>
      </c>
      <c r="E52" t="s">
        <v>22</v>
      </c>
      <c r="F52" t="s">
        <v>37</v>
      </c>
      <c r="G52" t="s">
        <v>40</v>
      </c>
      <c r="H52" t="s">
        <v>52</v>
      </c>
      <c r="I52" t="s">
        <v>64</v>
      </c>
      <c r="J52">
        <v>343.3</v>
      </c>
      <c r="K52">
        <v>4</v>
      </c>
      <c r="L52">
        <v>0.15</v>
      </c>
      <c r="M52">
        <v>0.21</v>
      </c>
      <c r="N52">
        <f t="shared" si="0"/>
        <v>1412.3362</v>
      </c>
    </row>
    <row r="53" spans="1:14" x14ac:dyDescent="0.3">
      <c r="A53">
        <v>52</v>
      </c>
      <c r="B53" t="s">
        <v>96</v>
      </c>
      <c r="C53" t="s">
        <v>105</v>
      </c>
      <c r="D53" t="s">
        <v>14</v>
      </c>
      <c r="E53" t="s">
        <v>59</v>
      </c>
      <c r="F53" t="s">
        <v>56</v>
      </c>
      <c r="G53" t="s">
        <v>40</v>
      </c>
      <c r="H53" t="s">
        <v>30</v>
      </c>
      <c r="I53" t="s">
        <v>31</v>
      </c>
      <c r="J53">
        <v>501.73</v>
      </c>
      <c r="K53">
        <v>18</v>
      </c>
      <c r="L53">
        <v>0.15</v>
      </c>
      <c r="M53">
        <v>0.21</v>
      </c>
      <c r="N53">
        <f t="shared" si="0"/>
        <v>9288.5274899999986</v>
      </c>
    </row>
    <row r="54" spans="1:14" x14ac:dyDescent="0.3">
      <c r="A54">
        <v>53</v>
      </c>
      <c r="B54" t="s">
        <v>75</v>
      </c>
      <c r="C54" t="s">
        <v>77</v>
      </c>
      <c r="D54" t="s">
        <v>14</v>
      </c>
      <c r="E54" t="s">
        <v>28</v>
      </c>
      <c r="F54" t="s">
        <v>44</v>
      </c>
      <c r="G54" t="s">
        <v>40</v>
      </c>
      <c r="H54" t="s">
        <v>35</v>
      </c>
      <c r="I54" t="s">
        <v>78</v>
      </c>
      <c r="J54">
        <v>383.51</v>
      </c>
      <c r="K54">
        <v>9</v>
      </c>
      <c r="L54">
        <v>0.15</v>
      </c>
      <c r="M54">
        <v>0.21</v>
      </c>
      <c r="N54">
        <f t="shared" si="0"/>
        <v>3549.9603150000003</v>
      </c>
    </row>
    <row r="55" spans="1:14" x14ac:dyDescent="0.3">
      <c r="A55">
        <v>54</v>
      </c>
      <c r="B55" t="s">
        <v>25</v>
      </c>
      <c r="C55" t="s">
        <v>106</v>
      </c>
      <c r="D55" t="s">
        <v>21</v>
      </c>
      <c r="E55" t="s">
        <v>22</v>
      </c>
      <c r="F55" t="s">
        <v>44</v>
      </c>
      <c r="G55" t="s">
        <v>24</v>
      </c>
      <c r="H55" t="s">
        <v>35</v>
      </c>
      <c r="I55" t="s">
        <v>36</v>
      </c>
      <c r="J55">
        <v>100.26</v>
      </c>
      <c r="K55">
        <v>8</v>
      </c>
      <c r="L55">
        <v>0.15</v>
      </c>
      <c r="M55">
        <v>0.21</v>
      </c>
      <c r="N55">
        <f t="shared" si="0"/>
        <v>824.93928000000005</v>
      </c>
    </row>
    <row r="56" spans="1:14" x14ac:dyDescent="0.3">
      <c r="A56">
        <v>55</v>
      </c>
      <c r="B56" t="s">
        <v>93</v>
      </c>
      <c r="C56" t="s">
        <v>80</v>
      </c>
      <c r="D56" t="s">
        <v>27</v>
      </c>
      <c r="E56" t="s">
        <v>59</v>
      </c>
      <c r="F56" t="s">
        <v>34</v>
      </c>
      <c r="G56" t="s">
        <v>14</v>
      </c>
      <c r="H56" t="s">
        <v>52</v>
      </c>
      <c r="I56" t="s">
        <v>53</v>
      </c>
      <c r="J56">
        <v>334.71</v>
      </c>
      <c r="K56">
        <v>14</v>
      </c>
      <c r="L56">
        <v>0</v>
      </c>
      <c r="M56">
        <v>0.21</v>
      </c>
      <c r="N56">
        <f t="shared" si="0"/>
        <v>5669.9873999999991</v>
      </c>
    </row>
    <row r="57" spans="1:14" x14ac:dyDescent="0.3">
      <c r="A57">
        <v>56</v>
      </c>
      <c r="B57" t="s">
        <v>107</v>
      </c>
      <c r="C57" t="s">
        <v>20</v>
      </c>
      <c r="D57" t="s">
        <v>14</v>
      </c>
      <c r="E57" t="s">
        <v>22</v>
      </c>
      <c r="F57" t="s">
        <v>44</v>
      </c>
      <c r="G57" t="s">
        <v>40</v>
      </c>
      <c r="H57" t="s">
        <v>52</v>
      </c>
      <c r="I57" t="s">
        <v>64</v>
      </c>
      <c r="J57">
        <v>566.79</v>
      </c>
      <c r="K57">
        <v>1</v>
      </c>
      <c r="L57">
        <v>0.15</v>
      </c>
      <c r="M57">
        <v>0.21</v>
      </c>
      <c r="N57">
        <f t="shared" si="0"/>
        <v>582.94351499999993</v>
      </c>
    </row>
    <row r="58" spans="1:14" x14ac:dyDescent="0.3">
      <c r="A58">
        <v>57</v>
      </c>
      <c r="B58" t="s">
        <v>108</v>
      </c>
      <c r="C58" t="s">
        <v>77</v>
      </c>
      <c r="D58" t="s">
        <v>14</v>
      </c>
      <c r="E58" t="s">
        <v>59</v>
      </c>
      <c r="F58" t="s">
        <v>71</v>
      </c>
      <c r="G58" t="s">
        <v>40</v>
      </c>
      <c r="H58" t="s">
        <v>35</v>
      </c>
      <c r="I58" t="s">
        <v>78</v>
      </c>
      <c r="J58">
        <v>301.67</v>
      </c>
      <c r="K58">
        <v>13</v>
      </c>
      <c r="L58">
        <v>0.1</v>
      </c>
      <c r="M58">
        <v>0.21</v>
      </c>
      <c r="N58">
        <f t="shared" si="0"/>
        <v>4270.7421899999999</v>
      </c>
    </row>
    <row r="59" spans="1:14" x14ac:dyDescent="0.3">
      <c r="A59">
        <v>58</v>
      </c>
      <c r="B59" t="s">
        <v>39</v>
      </c>
      <c r="C59" t="s">
        <v>101</v>
      </c>
      <c r="D59" t="s">
        <v>14</v>
      </c>
      <c r="E59" t="s">
        <v>59</v>
      </c>
      <c r="F59" t="s">
        <v>71</v>
      </c>
      <c r="G59" t="s">
        <v>40</v>
      </c>
      <c r="H59" t="s">
        <v>30</v>
      </c>
      <c r="I59" t="s">
        <v>67</v>
      </c>
      <c r="J59">
        <v>35.64</v>
      </c>
      <c r="K59">
        <v>13</v>
      </c>
      <c r="L59">
        <v>0</v>
      </c>
      <c r="M59">
        <v>0.21</v>
      </c>
      <c r="N59">
        <f t="shared" si="0"/>
        <v>560.61720000000003</v>
      </c>
    </row>
    <row r="60" spans="1:14" x14ac:dyDescent="0.3">
      <c r="A60">
        <v>59</v>
      </c>
      <c r="B60" t="s">
        <v>87</v>
      </c>
      <c r="C60" t="s">
        <v>94</v>
      </c>
      <c r="D60" t="s">
        <v>27</v>
      </c>
      <c r="E60" t="s">
        <v>59</v>
      </c>
      <c r="F60" t="s">
        <v>29</v>
      </c>
      <c r="G60" t="s">
        <v>40</v>
      </c>
      <c r="H60" t="s">
        <v>17</v>
      </c>
      <c r="I60" t="s">
        <v>69</v>
      </c>
      <c r="J60">
        <v>239.88</v>
      </c>
      <c r="K60">
        <v>7</v>
      </c>
      <c r="L60">
        <v>0.15</v>
      </c>
      <c r="M60">
        <v>0.21</v>
      </c>
      <c r="N60">
        <f t="shared" si="0"/>
        <v>1727.0160599999997</v>
      </c>
    </row>
    <row r="61" spans="1:14" x14ac:dyDescent="0.3">
      <c r="A61">
        <v>60</v>
      </c>
      <c r="B61" t="s">
        <v>32</v>
      </c>
      <c r="C61" t="s">
        <v>62</v>
      </c>
      <c r="D61" t="s">
        <v>21</v>
      </c>
      <c r="E61" t="s">
        <v>22</v>
      </c>
      <c r="F61" t="s">
        <v>16</v>
      </c>
      <c r="G61" t="s">
        <v>14</v>
      </c>
      <c r="H61" t="s">
        <v>17</v>
      </c>
      <c r="I61" t="s">
        <v>81</v>
      </c>
      <c r="J61">
        <v>31.24</v>
      </c>
      <c r="K61">
        <v>18</v>
      </c>
      <c r="L61">
        <v>0</v>
      </c>
      <c r="M61">
        <v>0.21</v>
      </c>
      <c r="N61">
        <f t="shared" si="0"/>
        <v>680.40719999999988</v>
      </c>
    </row>
    <row r="62" spans="1:14" x14ac:dyDescent="0.3">
      <c r="A62">
        <v>61</v>
      </c>
      <c r="B62" t="s">
        <v>76</v>
      </c>
      <c r="C62" t="s">
        <v>103</v>
      </c>
      <c r="D62" t="s">
        <v>21</v>
      </c>
      <c r="E62" t="s">
        <v>59</v>
      </c>
      <c r="F62" t="s">
        <v>16</v>
      </c>
      <c r="G62" t="s">
        <v>14</v>
      </c>
      <c r="H62" t="s">
        <v>17</v>
      </c>
      <c r="I62" t="s">
        <v>50</v>
      </c>
      <c r="J62">
        <v>135.63</v>
      </c>
      <c r="K62">
        <v>1</v>
      </c>
      <c r="L62">
        <v>0.05</v>
      </c>
      <c r="M62">
        <v>0.21</v>
      </c>
      <c r="N62">
        <f t="shared" si="0"/>
        <v>155.90668500000001</v>
      </c>
    </row>
    <row r="63" spans="1:14" x14ac:dyDescent="0.3">
      <c r="A63">
        <v>62</v>
      </c>
      <c r="B63" t="s">
        <v>57</v>
      </c>
      <c r="C63" t="s">
        <v>33</v>
      </c>
      <c r="D63" t="s">
        <v>14</v>
      </c>
      <c r="E63" t="s">
        <v>22</v>
      </c>
      <c r="F63" t="s">
        <v>16</v>
      </c>
      <c r="G63" t="s">
        <v>24</v>
      </c>
      <c r="H63" t="s">
        <v>52</v>
      </c>
      <c r="I63" t="s">
        <v>92</v>
      </c>
      <c r="J63">
        <v>168.62</v>
      </c>
      <c r="K63">
        <v>12</v>
      </c>
      <c r="L63">
        <v>0.05</v>
      </c>
      <c r="M63">
        <v>0.21</v>
      </c>
      <c r="N63">
        <f t="shared" si="0"/>
        <v>2325.9442800000002</v>
      </c>
    </row>
    <row r="64" spans="1:14" x14ac:dyDescent="0.3">
      <c r="A64">
        <v>63</v>
      </c>
      <c r="B64" t="s">
        <v>85</v>
      </c>
      <c r="C64" t="s">
        <v>66</v>
      </c>
      <c r="D64" t="s">
        <v>14</v>
      </c>
      <c r="E64" t="s">
        <v>49</v>
      </c>
      <c r="F64" t="s">
        <v>16</v>
      </c>
      <c r="G64" t="s">
        <v>14</v>
      </c>
      <c r="H64" t="s">
        <v>17</v>
      </c>
      <c r="I64" t="s">
        <v>18</v>
      </c>
      <c r="J64">
        <v>558.75</v>
      </c>
      <c r="K64">
        <v>19</v>
      </c>
      <c r="L64">
        <v>0.15</v>
      </c>
      <c r="M64">
        <v>0.21</v>
      </c>
      <c r="N64">
        <f t="shared" si="0"/>
        <v>10918.813125000001</v>
      </c>
    </row>
    <row r="65" spans="1:14" x14ac:dyDescent="0.3">
      <c r="A65">
        <v>64</v>
      </c>
      <c r="B65" t="s">
        <v>109</v>
      </c>
      <c r="C65" t="s">
        <v>91</v>
      </c>
      <c r="D65" t="s">
        <v>21</v>
      </c>
      <c r="E65" t="s">
        <v>28</v>
      </c>
      <c r="F65" t="s">
        <v>23</v>
      </c>
      <c r="G65" t="s">
        <v>14</v>
      </c>
      <c r="H65" t="s">
        <v>45</v>
      </c>
      <c r="I65" t="s">
        <v>99</v>
      </c>
      <c r="J65">
        <v>424.37</v>
      </c>
      <c r="K65">
        <v>1</v>
      </c>
      <c r="L65">
        <v>0</v>
      </c>
      <c r="M65">
        <v>0.21</v>
      </c>
      <c r="N65">
        <f t="shared" si="0"/>
        <v>513.48770000000002</v>
      </c>
    </row>
    <row r="66" spans="1:14" x14ac:dyDescent="0.3">
      <c r="A66">
        <v>65</v>
      </c>
      <c r="B66" t="s">
        <v>104</v>
      </c>
      <c r="C66" t="s">
        <v>48</v>
      </c>
      <c r="D66" t="s">
        <v>27</v>
      </c>
      <c r="E66" t="s">
        <v>28</v>
      </c>
      <c r="F66" t="s">
        <v>56</v>
      </c>
      <c r="G66" t="s">
        <v>14</v>
      </c>
      <c r="H66" t="s">
        <v>17</v>
      </c>
      <c r="I66" t="s">
        <v>69</v>
      </c>
      <c r="J66">
        <v>27.34</v>
      </c>
      <c r="K66">
        <v>14</v>
      </c>
      <c r="L66">
        <v>0.15</v>
      </c>
      <c r="M66">
        <v>0.21</v>
      </c>
      <c r="N66">
        <f t="shared" si="0"/>
        <v>393.66865999999999</v>
      </c>
    </row>
    <row r="67" spans="1:14" x14ac:dyDescent="0.3">
      <c r="A67">
        <v>66</v>
      </c>
      <c r="B67" t="s">
        <v>88</v>
      </c>
      <c r="C67" t="s">
        <v>101</v>
      </c>
      <c r="D67" t="s">
        <v>14</v>
      </c>
      <c r="E67" t="s">
        <v>59</v>
      </c>
      <c r="F67" t="s">
        <v>56</v>
      </c>
      <c r="G67" t="s">
        <v>40</v>
      </c>
      <c r="H67" t="s">
        <v>52</v>
      </c>
      <c r="I67" t="s">
        <v>64</v>
      </c>
      <c r="J67">
        <v>445.6</v>
      </c>
      <c r="K67">
        <v>21</v>
      </c>
      <c r="L67">
        <v>0.1</v>
      </c>
      <c r="M67">
        <v>0.21</v>
      </c>
      <c r="N67">
        <f t="shared" ref="N67:N81" si="1">J67*K67*(1-L67)*(1+M67)</f>
        <v>10190.4264</v>
      </c>
    </row>
    <row r="68" spans="1:14" x14ac:dyDescent="0.3">
      <c r="A68">
        <v>67</v>
      </c>
      <c r="B68" t="s">
        <v>47</v>
      </c>
      <c r="C68" t="s">
        <v>70</v>
      </c>
      <c r="D68" t="s">
        <v>27</v>
      </c>
      <c r="E68" t="s">
        <v>49</v>
      </c>
      <c r="F68" t="s">
        <v>56</v>
      </c>
      <c r="G68" t="s">
        <v>14</v>
      </c>
      <c r="H68" t="s">
        <v>30</v>
      </c>
      <c r="I68" t="s">
        <v>31</v>
      </c>
      <c r="J68">
        <v>206.94</v>
      </c>
      <c r="K68">
        <v>8</v>
      </c>
      <c r="L68">
        <v>0</v>
      </c>
      <c r="M68">
        <v>0.21</v>
      </c>
      <c r="N68">
        <f t="shared" si="1"/>
        <v>2003.1791999999998</v>
      </c>
    </row>
    <row r="69" spans="1:14" x14ac:dyDescent="0.3">
      <c r="A69">
        <v>68</v>
      </c>
      <c r="B69" t="s">
        <v>110</v>
      </c>
      <c r="C69" t="s">
        <v>105</v>
      </c>
      <c r="D69" t="s">
        <v>21</v>
      </c>
      <c r="E69" t="s">
        <v>28</v>
      </c>
      <c r="F69" t="s">
        <v>29</v>
      </c>
      <c r="G69" t="s">
        <v>40</v>
      </c>
      <c r="H69" t="s">
        <v>52</v>
      </c>
      <c r="I69" t="s">
        <v>53</v>
      </c>
      <c r="J69">
        <v>36.65</v>
      </c>
      <c r="K69">
        <v>11</v>
      </c>
      <c r="L69">
        <v>0.05</v>
      </c>
      <c r="M69">
        <v>0.21</v>
      </c>
      <c r="N69">
        <f t="shared" si="1"/>
        <v>463.42092499999995</v>
      </c>
    </row>
    <row r="70" spans="1:14" x14ac:dyDescent="0.3">
      <c r="A70">
        <v>69</v>
      </c>
      <c r="B70" t="s">
        <v>111</v>
      </c>
      <c r="C70" t="s">
        <v>66</v>
      </c>
      <c r="D70" t="s">
        <v>21</v>
      </c>
      <c r="E70" t="s">
        <v>15</v>
      </c>
      <c r="F70" t="s">
        <v>44</v>
      </c>
      <c r="G70" t="s">
        <v>14</v>
      </c>
      <c r="H70" t="s">
        <v>30</v>
      </c>
      <c r="I70" t="s">
        <v>67</v>
      </c>
      <c r="J70">
        <v>530.46</v>
      </c>
      <c r="K70">
        <v>18</v>
      </c>
      <c r="L70">
        <v>0</v>
      </c>
      <c r="M70">
        <v>0.21</v>
      </c>
      <c r="N70">
        <f t="shared" si="1"/>
        <v>11553.418800000001</v>
      </c>
    </row>
    <row r="71" spans="1:14" x14ac:dyDescent="0.3">
      <c r="A71">
        <v>70</v>
      </c>
      <c r="B71" t="s">
        <v>112</v>
      </c>
      <c r="C71" t="s">
        <v>20</v>
      </c>
      <c r="D71" t="s">
        <v>14</v>
      </c>
      <c r="E71" t="s">
        <v>59</v>
      </c>
      <c r="F71" t="s">
        <v>56</v>
      </c>
      <c r="G71" t="s">
        <v>24</v>
      </c>
      <c r="H71" t="s">
        <v>52</v>
      </c>
      <c r="I71" t="s">
        <v>92</v>
      </c>
      <c r="J71">
        <v>459.74</v>
      </c>
      <c r="K71">
        <v>23</v>
      </c>
      <c r="L71">
        <v>0.15</v>
      </c>
      <c r="M71">
        <v>0.21</v>
      </c>
      <c r="N71">
        <f t="shared" si="1"/>
        <v>10875.379569999999</v>
      </c>
    </row>
    <row r="72" spans="1:14" x14ac:dyDescent="0.3">
      <c r="A72">
        <v>71</v>
      </c>
      <c r="B72" t="s">
        <v>108</v>
      </c>
      <c r="C72" t="s">
        <v>113</v>
      </c>
      <c r="D72" t="s">
        <v>14</v>
      </c>
      <c r="E72" t="s">
        <v>28</v>
      </c>
      <c r="F72" t="s">
        <v>56</v>
      </c>
      <c r="G72" t="s">
        <v>14</v>
      </c>
      <c r="H72" t="s">
        <v>35</v>
      </c>
      <c r="I72" t="s">
        <v>41</v>
      </c>
      <c r="J72">
        <v>254.55</v>
      </c>
      <c r="K72">
        <v>8</v>
      </c>
      <c r="L72">
        <v>0.1</v>
      </c>
      <c r="M72">
        <v>0.21</v>
      </c>
      <c r="N72">
        <f t="shared" si="1"/>
        <v>2217.6396</v>
      </c>
    </row>
    <row r="73" spans="1:14" x14ac:dyDescent="0.3">
      <c r="A73">
        <v>72</v>
      </c>
      <c r="B73" t="s">
        <v>32</v>
      </c>
      <c r="C73" t="s">
        <v>73</v>
      </c>
      <c r="D73" t="s">
        <v>14</v>
      </c>
      <c r="E73" t="s">
        <v>59</v>
      </c>
      <c r="F73" t="s">
        <v>29</v>
      </c>
      <c r="G73" t="s">
        <v>40</v>
      </c>
      <c r="H73" t="s">
        <v>35</v>
      </c>
      <c r="I73" t="s">
        <v>78</v>
      </c>
      <c r="J73">
        <v>598.04999999999995</v>
      </c>
      <c r="K73">
        <v>18</v>
      </c>
      <c r="L73">
        <v>0.1</v>
      </c>
      <c r="M73">
        <v>0.21</v>
      </c>
      <c r="N73">
        <f t="shared" si="1"/>
        <v>11722.9761</v>
      </c>
    </row>
    <row r="74" spans="1:14" x14ac:dyDescent="0.3">
      <c r="A74">
        <v>73</v>
      </c>
      <c r="B74" t="s">
        <v>65</v>
      </c>
      <c r="C74" t="s">
        <v>66</v>
      </c>
      <c r="D74" t="s">
        <v>14</v>
      </c>
      <c r="E74" t="s">
        <v>49</v>
      </c>
      <c r="F74" t="s">
        <v>44</v>
      </c>
      <c r="G74" t="s">
        <v>24</v>
      </c>
      <c r="H74" t="s">
        <v>45</v>
      </c>
      <c r="I74" t="s">
        <v>99</v>
      </c>
      <c r="J74">
        <v>438.34</v>
      </c>
      <c r="K74">
        <v>11</v>
      </c>
      <c r="L74">
        <v>0</v>
      </c>
      <c r="M74">
        <v>0.21</v>
      </c>
      <c r="N74">
        <f t="shared" si="1"/>
        <v>5834.3053999999993</v>
      </c>
    </row>
    <row r="75" spans="1:14" x14ac:dyDescent="0.3">
      <c r="A75">
        <v>74</v>
      </c>
      <c r="B75" t="s">
        <v>104</v>
      </c>
      <c r="C75" t="s">
        <v>91</v>
      </c>
      <c r="D75" t="s">
        <v>21</v>
      </c>
      <c r="E75" t="s">
        <v>28</v>
      </c>
      <c r="F75" t="s">
        <v>44</v>
      </c>
      <c r="G75" t="s">
        <v>40</v>
      </c>
      <c r="H75" t="s">
        <v>52</v>
      </c>
      <c r="I75" t="s">
        <v>53</v>
      </c>
      <c r="J75">
        <v>440.26</v>
      </c>
      <c r="K75">
        <v>25</v>
      </c>
      <c r="L75">
        <v>0.1</v>
      </c>
      <c r="M75">
        <v>0.21</v>
      </c>
      <c r="N75">
        <f t="shared" si="1"/>
        <v>11986.0785</v>
      </c>
    </row>
    <row r="76" spans="1:14" x14ac:dyDescent="0.3">
      <c r="A76">
        <v>75</v>
      </c>
      <c r="B76" t="s">
        <v>114</v>
      </c>
      <c r="C76" t="s">
        <v>94</v>
      </c>
      <c r="D76" t="s">
        <v>21</v>
      </c>
      <c r="E76" t="s">
        <v>63</v>
      </c>
      <c r="F76" t="s">
        <v>29</v>
      </c>
      <c r="G76" t="s">
        <v>14</v>
      </c>
      <c r="H76" t="s">
        <v>35</v>
      </c>
      <c r="I76" t="s">
        <v>36</v>
      </c>
      <c r="J76">
        <v>430.65</v>
      </c>
      <c r="K76">
        <v>5</v>
      </c>
      <c r="L76">
        <v>0.1</v>
      </c>
      <c r="M76">
        <v>0.21</v>
      </c>
      <c r="N76">
        <f t="shared" si="1"/>
        <v>2344.8892499999997</v>
      </c>
    </row>
    <row r="77" spans="1:14" x14ac:dyDescent="0.3">
      <c r="A77">
        <v>76</v>
      </c>
      <c r="B77" t="s">
        <v>115</v>
      </c>
      <c r="C77" t="s">
        <v>101</v>
      </c>
      <c r="D77" t="s">
        <v>27</v>
      </c>
      <c r="E77" t="s">
        <v>59</v>
      </c>
      <c r="F77" t="s">
        <v>37</v>
      </c>
      <c r="G77" t="s">
        <v>24</v>
      </c>
      <c r="H77" t="s">
        <v>52</v>
      </c>
      <c r="I77" t="s">
        <v>64</v>
      </c>
      <c r="J77">
        <v>526.17999999999995</v>
      </c>
      <c r="K77">
        <v>19</v>
      </c>
      <c r="L77">
        <v>0.1</v>
      </c>
      <c r="M77">
        <v>0.21</v>
      </c>
      <c r="N77">
        <f t="shared" si="1"/>
        <v>10887.190379999998</v>
      </c>
    </row>
    <row r="78" spans="1:14" x14ac:dyDescent="0.3">
      <c r="A78">
        <v>77</v>
      </c>
      <c r="B78" t="s">
        <v>110</v>
      </c>
      <c r="C78" t="s">
        <v>103</v>
      </c>
      <c r="D78" t="s">
        <v>21</v>
      </c>
      <c r="E78" t="s">
        <v>63</v>
      </c>
      <c r="F78" t="s">
        <v>34</v>
      </c>
      <c r="G78" t="s">
        <v>24</v>
      </c>
      <c r="H78" t="s">
        <v>35</v>
      </c>
      <c r="I78" t="s">
        <v>78</v>
      </c>
      <c r="J78">
        <v>86.17</v>
      </c>
      <c r="K78">
        <v>3</v>
      </c>
      <c r="L78">
        <v>0.15</v>
      </c>
      <c r="M78">
        <v>0.21</v>
      </c>
      <c r="N78">
        <f t="shared" si="1"/>
        <v>265.87753499999997</v>
      </c>
    </row>
    <row r="79" spans="1:14" x14ac:dyDescent="0.3">
      <c r="A79">
        <v>78</v>
      </c>
      <c r="B79" t="s">
        <v>19</v>
      </c>
      <c r="C79" t="s">
        <v>101</v>
      </c>
      <c r="D79" t="s">
        <v>27</v>
      </c>
      <c r="E79" t="s">
        <v>63</v>
      </c>
      <c r="F79" t="s">
        <v>44</v>
      </c>
      <c r="G79" t="s">
        <v>14</v>
      </c>
      <c r="H79" t="s">
        <v>30</v>
      </c>
      <c r="I79" t="s">
        <v>31</v>
      </c>
      <c r="J79">
        <v>69.400000000000006</v>
      </c>
      <c r="K79">
        <v>8</v>
      </c>
      <c r="L79">
        <v>0</v>
      </c>
      <c r="M79">
        <v>0.21</v>
      </c>
      <c r="N79">
        <f t="shared" si="1"/>
        <v>671.79200000000003</v>
      </c>
    </row>
    <row r="80" spans="1:14" x14ac:dyDescent="0.3">
      <c r="A80">
        <v>79</v>
      </c>
      <c r="B80" t="s">
        <v>97</v>
      </c>
      <c r="C80" t="s">
        <v>80</v>
      </c>
      <c r="D80" t="s">
        <v>14</v>
      </c>
      <c r="E80" t="s">
        <v>63</v>
      </c>
      <c r="F80" t="s">
        <v>34</v>
      </c>
      <c r="G80" t="s">
        <v>14</v>
      </c>
      <c r="H80" t="s">
        <v>52</v>
      </c>
      <c r="I80" t="s">
        <v>53</v>
      </c>
      <c r="J80">
        <v>192.46</v>
      </c>
      <c r="K80">
        <v>19</v>
      </c>
      <c r="L80">
        <v>0.15</v>
      </c>
      <c r="M80">
        <v>0.21</v>
      </c>
      <c r="N80">
        <f t="shared" si="1"/>
        <v>3760.9570900000003</v>
      </c>
    </row>
    <row r="81" spans="1:14" x14ac:dyDescent="0.3">
      <c r="A81">
        <v>80</v>
      </c>
      <c r="B81" t="s">
        <v>96</v>
      </c>
      <c r="C81" t="s">
        <v>91</v>
      </c>
      <c r="D81" t="s">
        <v>21</v>
      </c>
      <c r="E81" t="s">
        <v>49</v>
      </c>
      <c r="F81" t="s">
        <v>16</v>
      </c>
      <c r="G81" t="s">
        <v>24</v>
      </c>
      <c r="H81" t="s">
        <v>17</v>
      </c>
      <c r="I81" t="s">
        <v>50</v>
      </c>
      <c r="J81">
        <v>382.8</v>
      </c>
      <c r="K81">
        <v>9</v>
      </c>
      <c r="L81">
        <v>0</v>
      </c>
      <c r="M81">
        <v>0.21</v>
      </c>
      <c r="N81">
        <f t="shared" si="1"/>
        <v>4168.692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Belén Muñiz García</cp:lastModifiedBy>
  <dcterms:created xsi:type="dcterms:W3CDTF">2026-08-06T20:36:33Z</dcterms:created>
  <dcterms:modified xsi:type="dcterms:W3CDTF">2026-08-10T18:50:21Z</dcterms:modified>
</cp:coreProperties>
</file>